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drawings/drawing4.xml" ContentType="application/vnd.openxmlformats-officedocument.drawing+xml"/>
  <Override PartName="/xl/embeddings/oleObject3.bin" ContentType="application/vnd.openxmlformats-officedocument.oleObject"/>
  <Override PartName="/xl/drawings/drawing5.xml" ContentType="application/vnd.openxmlformats-officedocument.drawing+xml"/>
  <Override PartName="/xl/embeddings/oleObject4.bin" ContentType="application/vnd.openxmlformats-officedocument.oleObject"/>
  <Override PartName="/xl/drawings/drawing6.xml" ContentType="application/vnd.openxmlformats-officedocument.drawing+xml"/>
  <Override PartName="/xl/embeddings/oleObject5.bin" ContentType="application/vnd.openxmlformats-officedocument.oleObject"/>
  <Override PartName="/xl/drawings/drawing7.xml" ContentType="application/vnd.openxmlformats-officedocument.drawing+xml"/>
  <Override PartName="/xl/embeddings/oleObject6.bin" ContentType="application/vnd.openxmlformats-officedocument.oleObject"/>
  <Override PartName="/xl/drawings/drawing8.xml" ContentType="application/vnd.openxmlformats-officedocument.drawing+xml"/>
  <Override PartName="/xl/embeddings/oleObject7.bin" ContentType="application/vnd.openxmlformats-officedocument.oleObject"/>
  <Override PartName="/xl/drawings/drawing9.xml" ContentType="application/vnd.openxmlformats-officedocument.drawing+xml"/>
  <Override PartName="/xl/embeddings/oleObject8.bin" ContentType="application/vnd.openxmlformats-officedocument.oleObject"/>
  <Override PartName="/xl/drawings/drawing10.xml" ContentType="application/vnd.openxmlformats-officedocument.drawing+xml"/>
  <Override PartName="/xl/embeddings/oleObject9.bin" ContentType="application/vnd.openxmlformats-officedocument.oleObject"/>
  <Override PartName="/xl/drawings/drawing11.xml" ContentType="application/vnd.openxmlformats-officedocument.drawing+xml"/>
  <Override PartName="/xl/embeddings/oleObject10.bin" ContentType="application/vnd.openxmlformats-officedocument.oleObject"/>
  <Override PartName="/xl/drawings/drawing12.xml" ContentType="application/vnd.openxmlformats-officedocument.drawing+xml"/>
  <Override PartName="/xl/embeddings/oleObject11.bin" ContentType="application/vnd.openxmlformats-officedocument.oleObject"/>
  <Override PartName="/xl/drawings/drawing13.xml" ContentType="application/vnd.openxmlformats-officedocument.drawing+xml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Z:\BPE\Отдел покупок электроэнергии - RS\Отчеты\Прогноз цен на сайт\2026-01 Прогноз на 2026\"/>
    </mc:Choice>
  </mc:AlternateContent>
  <bookViews>
    <workbookView xWindow="0" yWindow="0" windowWidth="12000" windowHeight="5100" tabRatio="921"/>
  </bookViews>
  <sheets>
    <sheet name="Сценарные условия" sheetId="32" r:id="rId1"/>
    <sheet name="Реестр" sheetId="15" r:id="rId2"/>
    <sheet name="М_менее 670 (1 ЦК)" sheetId="1" r:id="rId3"/>
    <sheet name="М_менее 670 (3 ЦК)" sheetId="17" r:id="rId4"/>
    <sheet name="М_менее 670 (4 ЦК)" sheetId="18" r:id="rId5"/>
    <sheet name="М_от 670 кВт до 10 МВт (3 ЦК)" sheetId="19" r:id="rId6"/>
    <sheet name="М_от 670 кВт до 10 МВт (4 ЦК)" sheetId="20" r:id="rId7"/>
    <sheet name="М_свыше 10 МВт (3 ЦК)" sheetId="21" r:id="rId8"/>
    <sheet name="М_свыше 10 МВт (4 ЦК)" sheetId="22" r:id="rId9"/>
    <sheet name="МО_менее 670 (1 ЦК)" sheetId="25" r:id="rId10"/>
    <sheet name="МО_менее 670 (3 ЦК)" sheetId="26" r:id="rId11"/>
    <sheet name="МО_менее 670 (4 ЦК)" sheetId="27" r:id="rId12"/>
    <sheet name="МО_от 670 кВт до 10 МВт (3 ЦК)" sheetId="28" r:id="rId13"/>
    <sheet name="МО_от 670 кВт до 10 МВт (4 ЦК)" sheetId="29" r:id="rId14"/>
    <sheet name="МО_свыше 10 МВт (3 ЦК)" sheetId="30" r:id="rId15"/>
    <sheet name="МО_свыше 10 МВт (4 ЦК)" sheetId="31" r:id="rId16"/>
  </sheets>
  <definedNames>
    <definedName name="__IntlFixup">TRUE</definedName>
    <definedName name="_Order1">255</definedName>
    <definedName name="_xlnm._FilterDatabase" localSheetId="1">Реестр!$A$9:$H$9</definedName>
    <definedName name="_xlnm._FilterDatabase">#N/A</definedName>
    <definedName name="anscount">1</definedName>
    <definedName name="limcount">1</definedName>
    <definedName name="sencount">1</definedName>
    <definedName name="М_менее_670_ДКП_ВН_1">'М_менее 670 (1 ЦК)'!$A$18</definedName>
    <definedName name="М_менее_670_ДКП_ВН_3">'М_менее 670 (3 ЦК)'!$A$21</definedName>
    <definedName name="М_менее_670_ДКП_ВН_4">'М_менее 670 (4 ЦК)'!$A$22</definedName>
    <definedName name="М_менее_670_ДКП_НН_1">'М_менее 670 (1 ЦК)'!$A$66</definedName>
    <definedName name="М_менее_670_ДКП_НН_3">'М_менее 670 (3 ЦК)'!$A$87</definedName>
    <definedName name="М_менее_670_ДКП_НН_4">'М_менее 670 (4 ЦК)'!$A$91</definedName>
    <definedName name="М_менее_670_ДКП_СН1_1">'М_менее 670 (1 ЦК)'!$A$34</definedName>
    <definedName name="М_менее_670_ДКП_СН1_3">'М_менее 670 (3 ЦК)'!$A$43</definedName>
    <definedName name="М_менее_670_ДКП_СН1_4">'М_менее 670 (4 ЦК)'!$A$45</definedName>
    <definedName name="М_менее_670_ДКП_СН2_1">'М_менее 670 (1 ЦК)'!$A$50</definedName>
    <definedName name="М_менее_670_ДКП_СН2_3">'М_менее 670 (3 ЦК)'!$A$65</definedName>
    <definedName name="М_менее_670_ДКП_СН2_4">'М_менее 670 (4 ЦК)'!$A$68</definedName>
    <definedName name="М_менее_670_ДЭ_ВН_1">'М_менее 670 (1 ЦК)'!$A$12</definedName>
    <definedName name="М_менее_670_ДЭ_ВН_3">'М_менее 670 (3 ЦК)'!$A$12</definedName>
    <definedName name="М_менее_670_ДЭ_ВН_4">'М_менее 670 (4 ЦК)'!$A$12</definedName>
    <definedName name="М_менее_670_ДЭ_НН_1">'М_менее 670 (1 ЦК)'!$A$60</definedName>
    <definedName name="М_менее_670_ДЭ_НН_3">'М_менее 670 (3 ЦК)'!$A$78</definedName>
    <definedName name="М_менее_670_ДЭ_НН_4">'М_менее 670 (4 ЦК)'!$A$81</definedName>
    <definedName name="М_менее_670_ДЭ_СН1_1">'М_менее 670 (1 ЦК)'!$A$28</definedName>
    <definedName name="М_менее_670_ДЭ_СН1_3">'М_менее 670 (3 ЦК)'!$A$34</definedName>
    <definedName name="М_менее_670_ДЭ_СН1_4">'М_менее 670 (4 ЦК)'!$A$35</definedName>
    <definedName name="М_менее_670_ДЭ_СН2_1">'М_менее 670 (1 ЦК)'!$A$44</definedName>
    <definedName name="М_менее_670_ДЭ_СН2_3">'М_менее 670 (3 ЦК)'!$A$56</definedName>
    <definedName name="М_менее_670_ДЭ_СН2_4">'М_менее 670 (4 ЦК)'!$A$58</definedName>
    <definedName name="М_не_менее_10_ДКП_ВН_3">'М_свыше 10 МВт (3 ЦК)'!$A$21</definedName>
    <definedName name="М_не_менее_10_ДКП_ВН_4">'М_свыше 10 МВт (4 ЦК)'!$A$22</definedName>
    <definedName name="М_не_менее_10_ДКП_НН_3">'М_свыше 10 МВт (3 ЦК)'!$A$87</definedName>
    <definedName name="М_не_менее_10_ДКП_НН_4">'М_свыше 10 МВт (4 ЦК)'!$A$138</definedName>
    <definedName name="М_не_менее_10_ДКП_СН1_3">'М_свыше 10 МВт (3 ЦК)'!$A$43</definedName>
    <definedName name="М_не_менее_10_ДКП_СН1_4">'М_свыше 10 МВт (4 ЦК)'!$A$74</definedName>
    <definedName name="М_не_менее_10_ДКП_СН2_3">'М_свыше 10 МВт (3 ЦК)'!$A$65</definedName>
    <definedName name="М_не_менее_10_ДКП_СН2_4">'М_свыше 10 МВт (4 ЦК)'!$A$106</definedName>
    <definedName name="М_не_менее_10_ДЭ_ВН_3">'М_свыше 10 МВт (3 ЦК)'!$A$12</definedName>
    <definedName name="М_не_менее_10_ДЭ_ВН_4">'М_свыше 10 МВт (4 ЦК)'!$A$12</definedName>
    <definedName name="М_не_менее_10_ДЭ_НН_3">'М_свыше 10 МВт (3 ЦК)'!$A$78</definedName>
    <definedName name="М_не_менее_10_ДЭ_НН_4">'М_свыше 10 МВт (4 ЦК)'!$A$128</definedName>
    <definedName name="М_не_менее_10_ДЭ_СН1_3">'М_свыше 10 МВт (3 ЦК)'!$A$34</definedName>
    <definedName name="М_не_менее_10_ДЭ_СН1_4">'М_свыше 10 МВт (4 ЦК)'!$A$64</definedName>
    <definedName name="М_не_менее_10_ДЭ_СН2_3">'М_свыше 10 МВт (3 ЦК)'!$A$56</definedName>
    <definedName name="М_не_менее_10_ДЭ_СН2_4">'М_свыше 10 МВт (4 ЦК)'!$A$96</definedName>
    <definedName name="М_не_менее_10_ЕНЭС220_ВН_4">'М_свыше 10 МВт (4 ЦК)'!$A$39</definedName>
    <definedName name="М_не_менее_10_ЕНЭС330_ВН_4">'М_свыше 10 МВт (4 ЦК)'!$A$49</definedName>
    <definedName name="М_не_менее_10_РУ_ПЭ_ВН_4">'М_свыше 10 МВт (4 ЦК)'!$A$30</definedName>
    <definedName name="М_не_менее_10_РУ_ПЭ_НН_4">'М_свыше 10 МВт (4 ЦК)'!$A$146</definedName>
    <definedName name="М_не_менее_10_РУ_ПЭ_СН1_4">'М_свыше 10 МВт (4 ЦК)'!$A$82</definedName>
    <definedName name="М_не_менее_10_РУ_ПЭ_СН2_4">'М_свыше 10 МВт (4 ЦК)'!$A$114</definedName>
    <definedName name="М_от_670_до_10_ДКП_ВН_3">'М_от 670 кВт до 10 МВт (3 ЦК)'!$A$21</definedName>
    <definedName name="М_от_670_до_10_ДКП_ВН_4">'М_от 670 кВт до 10 МВт (4 ЦК)'!$A$22</definedName>
    <definedName name="М_от_670_до_10_ДКП_НН_3">'М_от 670 кВт до 10 МВт (3 ЦК)'!$A$87</definedName>
    <definedName name="М_от_670_до_10_ДКП_НН_4">'М_от 670 кВт до 10 МВт (4 ЦК)'!$A$138</definedName>
    <definedName name="М_от_670_до_10_ДКП_СН1_3">'М_от 670 кВт до 10 МВт (3 ЦК)'!$A$43</definedName>
    <definedName name="М_от_670_до_10_ДКП_СН1_4">'М_от 670 кВт до 10 МВт (4 ЦК)'!$A$74</definedName>
    <definedName name="М_от_670_до_10_ДКП_СН2_3">'М_от 670 кВт до 10 МВт (3 ЦК)'!$A$65</definedName>
    <definedName name="М_от_670_до_10_ДКП_СН2_4">'М_от 670 кВт до 10 МВт (4 ЦК)'!$A$106</definedName>
    <definedName name="М_от_670_до_10_ДЭ_ВН_3">'М_от 670 кВт до 10 МВт (3 ЦК)'!$A$12</definedName>
    <definedName name="М_от_670_до_10_ДЭ_ВН_4">'М_от 670 кВт до 10 МВт (4 ЦК)'!$A$12</definedName>
    <definedName name="М_от_670_до_10_ДЭ_НН_3">'М_от 670 кВт до 10 МВт (3 ЦК)'!$A$78</definedName>
    <definedName name="М_от_670_до_10_ДЭ_НН_4">'М_от 670 кВт до 10 МВт (4 ЦК)'!$A$128</definedName>
    <definedName name="М_от_670_до_10_ДЭ_СН1_3">'М_от 670 кВт до 10 МВт (3 ЦК)'!$A$34</definedName>
    <definedName name="М_от_670_до_10_ДЭ_СН1_4">'М_от 670 кВт до 10 МВт (4 ЦК)'!$A$64</definedName>
    <definedName name="М_от_670_до_10_ДЭ_СН2_3">'М_от 670 кВт до 10 МВт (3 ЦК)'!$A$56</definedName>
    <definedName name="М_от_670_до_10_ДЭ_СН2_4">'М_от 670 кВт до 10 МВт (4 ЦК)'!$A$96</definedName>
    <definedName name="М_от_670_до_10_ЕНЭС220_ВН_4">'М_от 670 кВт до 10 МВт (4 ЦК)'!$A$39</definedName>
    <definedName name="М_от_670_до_10_ЕНЭС330_ВН_4">'М_от 670 кВт до 10 МВт (4 ЦК)'!$A$49</definedName>
    <definedName name="М_от_670_до_10_РУ_ПЭ_ВН_4">'М_от 670 кВт до 10 МВт (4 ЦК)'!$A$30</definedName>
    <definedName name="М_от_670_до_10_РУ_ПЭ_НН_4">'М_от 670 кВт до 10 МВт (4 ЦК)'!$A$146</definedName>
    <definedName name="М_от_670_до_10_РУ_ПЭ_СН1_4">'М_от 670 кВт до 10 МВт (4 ЦК)'!$A$82</definedName>
    <definedName name="М_от_670_до_10_РУ_ПЭ_СН2_4">'М_от 670 кВт до 10 МВт (4 ЦК)'!$A$114</definedName>
    <definedName name="МО_менее_670_ДКП_ВН_1">'МО_менее 670 (1 ЦК)'!$A$18</definedName>
    <definedName name="МО_менее_670_ДКП_ВН_3">'МО_менее 670 (3 ЦК)'!$A$21</definedName>
    <definedName name="МО_менее_670_ДКП_ВН_4">'МО_менее 670 (4 ЦК)'!$A$22</definedName>
    <definedName name="МО_менее_670_ДКП_НН_1">'МО_менее 670 (1 ЦК)'!$A$66</definedName>
    <definedName name="МО_менее_670_ДКП_НН_3">'МО_менее 670 (3 ЦК)'!$A$87</definedName>
    <definedName name="МО_менее_670_ДКП_НН_4">'МО_менее 670 (4 ЦК)'!$A$91</definedName>
    <definedName name="МО_менее_670_ДКП_СН1_1">'МО_менее 670 (1 ЦК)'!$A$34</definedName>
    <definedName name="МО_менее_670_ДКП_СН1_3">'МО_менее 670 (3 ЦК)'!$A$43</definedName>
    <definedName name="МО_менее_670_ДКП_СН1_4">'МО_менее 670 (4 ЦК)'!$A$45</definedName>
    <definedName name="МО_менее_670_ДКП_СН2_1">'МО_менее 670 (1 ЦК)'!$A$50</definedName>
    <definedName name="МО_менее_670_ДКП_СН2_3">'МО_менее 670 (3 ЦК)'!$A$65</definedName>
    <definedName name="МО_менее_670_ДКП_СН2_4">'МО_менее 670 (4 ЦК)'!$A$68</definedName>
    <definedName name="МО_менее_670_ДЭ_ВН_1">'МО_менее 670 (1 ЦК)'!$A$12</definedName>
    <definedName name="МО_менее_670_ДЭ_ВН_3">'МО_менее 670 (3 ЦК)'!$A$12</definedName>
    <definedName name="МО_менее_670_ДЭ_ВН_4">'МО_менее 670 (4 ЦК)'!$A$12</definedName>
    <definedName name="МО_менее_670_ДЭ_НН_1">'МО_менее 670 (1 ЦК)'!$A$60</definedName>
    <definedName name="МО_менее_670_ДЭ_НН_3">'МО_менее 670 (3 ЦК)'!$A$78</definedName>
    <definedName name="МО_менее_670_ДЭ_НН_4">'МО_менее 670 (4 ЦК)'!$A$81</definedName>
    <definedName name="МО_менее_670_ДЭ_СН1_1">'МО_менее 670 (1 ЦК)'!$A$28</definedName>
    <definedName name="МО_менее_670_ДЭ_СН1_3">'МО_менее 670 (3 ЦК)'!$A$34</definedName>
    <definedName name="МО_менее_670_ДЭ_СН1_4">'МО_менее 670 (4 ЦК)'!$A$35</definedName>
    <definedName name="МО_менее_670_ДЭ_СН2_1">'МО_менее 670 (1 ЦК)'!$A$44</definedName>
    <definedName name="МО_менее_670_ДЭ_СН2_3">'МО_менее 670 (3 ЦК)'!$A$56</definedName>
    <definedName name="МО_менее_670_ДЭ_СН2_4">'МО_менее 670 (4 ЦК)'!$A$58</definedName>
    <definedName name="МО_не_менее_10_ДКП_ВН_3">'МО_свыше 10 МВт (3 ЦК)'!$A$21</definedName>
    <definedName name="МО_не_менее_10_ДКП_ВН_4">'МО_свыше 10 МВт (4 ЦК)'!$A$22</definedName>
    <definedName name="МО_не_менее_10_ДКП_НН_3">'МО_свыше 10 МВт (3 ЦК)'!$A$87</definedName>
    <definedName name="МО_не_менее_10_ДКП_НН_4">'МО_свыше 10 МВт (4 ЦК)'!$A$138</definedName>
    <definedName name="МО_не_менее_10_ДКП_СН1_3">'МО_свыше 10 МВт (3 ЦК)'!$A$43</definedName>
    <definedName name="МО_не_менее_10_ДКП_СН1_4">'МО_свыше 10 МВт (4 ЦК)'!$A$74</definedName>
    <definedName name="МО_не_менее_10_ДКП_СН2_3">'МО_свыше 10 МВт (3 ЦК)'!$A$65</definedName>
    <definedName name="МО_не_менее_10_ДКП_СН2_4">'МО_свыше 10 МВт (4 ЦК)'!$A$106</definedName>
    <definedName name="МО_не_менее_10_ДЭ_ВН_3">'МО_свыше 10 МВт (3 ЦК)'!$A$12</definedName>
    <definedName name="МО_не_менее_10_ДЭ_ВН_4">'МО_свыше 10 МВт (4 ЦК)'!$A$12</definedName>
    <definedName name="МО_не_менее_10_ДЭ_НН_3">'МО_свыше 10 МВт (3 ЦК)'!$A$78</definedName>
    <definedName name="МО_не_менее_10_ДЭ_НН_4">'МО_свыше 10 МВт (4 ЦК)'!$A$128</definedName>
    <definedName name="МО_не_менее_10_ДЭ_СН1_3">'МО_свыше 10 МВт (3 ЦК)'!$A$34</definedName>
    <definedName name="МО_не_менее_10_ДЭ_СН1_4">'МО_свыше 10 МВт (4 ЦК)'!$A$64</definedName>
    <definedName name="МО_не_менее_10_ДЭ_СН2_3">'МО_свыше 10 МВт (3 ЦК)'!$A$56</definedName>
    <definedName name="МО_не_менее_10_ДЭ_СН2_4">'МО_свыше 10 МВт (4 ЦК)'!$A$96</definedName>
    <definedName name="МО_не_менее_10_ЕНЭС220_ВН_4">'МО_свыше 10 МВт (4 ЦК)'!$A$39</definedName>
    <definedName name="МО_не_менее_10_ЕНЭС330_ВН_4">'МО_свыше 10 МВт (4 ЦК)'!$A$49</definedName>
    <definedName name="МО_не_менее_10_РУ_ПЭ_ВН_4">'МО_свыше 10 МВт (4 ЦК)'!$A$30</definedName>
    <definedName name="МО_не_менее_10_РУ_ПЭ_СН1_4">'МО_свыше 10 МВт (4 ЦК)'!$A$82</definedName>
    <definedName name="МО_не_менее_10_РУ_ПЭ_СН2_4">'МО_свыше 10 МВт (4 ЦК)'!$A$114</definedName>
    <definedName name="МО_от_670_до_10_ДКП_ВН_3">'МО_от 670 кВт до 10 МВт (3 ЦК)'!$A$21</definedName>
    <definedName name="МО_от_670_до_10_ДКП_ВН_4">'МО_от 670 кВт до 10 МВт (4 ЦК)'!$A$22</definedName>
    <definedName name="МО_от_670_до_10_ДКП_НН_3">'МО_от 670 кВт до 10 МВт (3 ЦК)'!$A$87</definedName>
    <definedName name="МО_от_670_до_10_ДКП_НН_4">'МО_от 670 кВт до 10 МВт (4 ЦК)'!$A$138</definedName>
    <definedName name="МО_от_670_до_10_ДКП_СН1_3">'МО_от 670 кВт до 10 МВт (3 ЦК)'!$A$43</definedName>
    <definedName name="МО_от_670_до_10_ДКП_СН1_4">'МО_от 670 кВт до 10 МВт (4 ЦК)'!$A$74</definedName>
    <definedName name="МО_от_670_до_10_ДКП_СН2_3">'МО_от 670 кВт до 10 МВт (3 ЦК)'!$A$65</definedName>
    <definedName name="МО_от_670_до_10_ДКП_СН2_4">'МО_от 670 кВт до 10 МВт (4 ЦК)'!$A$106</definedName>
    <definedName name="МО_от_670_до_10_ДЭ_ВН_3">'МО_от 670 кВт до 10 МВт (3 ЦК)'!$A$12</definedName>
    <definedName name="МО_от_670_до_10_ДЭ_ВН_4">'МО_от 670 кВт до 10 МВт (4 ЦК)'!$A$12</definedName>
    <definedName name="МО_от_670_до_10_ДЭ_НН_3">'МО_от 670 кВт до 10 МВт (3 ЦК)'!$A$78</definedName>
    <definedName name="МО_от_670_до_10_ДЭ_НН_4">'МО_от 670 кВт до 10 МВт (4 ЦК)'!$A$128</definedName>
    <definedName name="МО_от_670_до_10_ДЭ_СН1_3">'МО_от 670 кВт до 10 МВт (3 ЦК)'!$A$34</definedName>
    <definedName name="МО_от_670_до_10_ДЭ_СН1_4">'МО_от 670 кВт до 10 МВт (4 ЦК)'!$A$64</definedName>
    <definedName name="МО_от_670_до_10_ДЭ_СН2_3">'МО_от 670 кВт до 10 МВт (3 ЦК)'!$A$56</definedName>
    <definedName name="МО_от_670_до_10_ДЭ_СН2_4">'МО_от 670 кВт до 10 МВт (4 ЦК)'!$A$96</definedName>
    <definedName name="МО_от_670_до_10_ЕНЭС220_ВН_4">'МО_от 670 кВт до 10 МВт (4 ЦК)'!$A$39</definedName>
    <definedName name="МО_от_670_до_10_ЕНЭС330_ВН_4">'МО_от 670 кВт до 10 МВт (4 ЦК)'!$A$49</definedName>
    <definedName name="МО_от_670_до_10_РУ_ПЭ_ВН_4">'МО_от 670 кВт до 10 МВт (4 ЦК)'!$A$30</definedName>
    <definedName name="МО_от_670_до_10_РУ_ПЭ_НН_4">'МО_от 670 кВт до 10 МВт (4 ЦК)'!$A$146</definedName>
    <definedName name="МО_от_670_до_10_РУ_ПЭ_СН1_4">'МО_от 670 кВт до 10 МВт (4 ЦК)'!$A$82</definedName>
    <definedName name="МО_от_670_до_10_РУ_ПЭ_СН2_4">'МО_от 670 кВт до 10 МВт (4 ЦК)'!$A$114</definedName>
    <definedName name="_xlnm.Print_Area" localSheetId="2">'М_менее 670 (1 ЦК)'!$A$1:$N$80</definedName>
    <definedName name="_xlnm.Print_Area" localSheetId="3">'М_менее 670 (3 ЦК)'!$A$1:$N$98</definedName>
    <definedName name="_xlnm.Print_Area" localSheetId="4">'М_менее 670 (4 ЦК)'!$A$1:$N$102</definedName>
    <definedName name="_xlnm.Print_Area" localSheetId="5">'М_от 670 кВт до 10 МВт (3 ЦК)'!$A$1:$N$98</definedName>
    <definedName name="_xlnm.Print_Area" localSheetId="6">'М_от 670 кВт до 10 МВт (4 ЦК)'!$A$1:$N$158</definedName>
    <definedName name="_xlnm.Print_Area" localSheetId="7">'М_свыше 10 МВт (3 ЦК)'!$A$1:$N$98</definedName>
    <definedName name="_xlnm.Print_Area" localSheetId="8">'М_свыше 10 МВт (4 ЦК)'!$A$1:$N$158</definedName>
    <definedName name="_xlnm.Print_Area" localSheetId="9">'МО_менее 670 (1 ЦК)'!$A$1:$N$80</definedName>
    <definedName name="_xlnm.Print_Area" localSheetId="10">'МО_менее 670 (3 ЦК)'!$A$1:$N$98</definedName>
    <definedName name="_xlnm.Print_Area" localSheetId="11">'МО_менее 670 (4 ЦК)'!$A$1:$N$102</definedName>
    <definedName name="_xlnm.Print_Area" localSheetId="12">'МО_от 670 кВт до 10 МВт (3 ЦК)'!$A$1:$N$98</definedName>
    <definedName name="_xlnm.Print_Area" localSheetId="13">'МО_от 670 кВт до 10 МВт (4 ЦК)'!$A$1:$N$158</definedName>
    <definedName name="_xlnm.Print_Area" localSheetId="14">'МО_свыше 10 МВт (3 ЦК)'!$A$1:$N$98</definedName>
    <definedName name="_xlnm.Print_Area" localSheetId="15">'МО_свыше 10 МВт (4 ЦК)'!$A$1:$N$158</definedName>
    <definedName name="Реестр">Реестр!$A$9:$F$145</definedName>
    <definedName name="РЕЕСТР_СУБ_РФ">Реестр!$A$8</definedName>
    <definedName name="Срез_Диапазон_максимальной_мощности">#N/A</definedName>
    <definedName name="Срез_Субъект_РФ">#N/A</definedName>
    <definedName name="Срез_Тип">#N/A</definedName>
    <definedName name="Срез_Уровень_напряжения">#N/A</definedName>
    <definedName name="Срез_Ценовая_категория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  <x14:slicerCache r:id="rId18"/>
        <x14:slicerCache r:id="rId19"/>
        <x14:slicerCache r:id="rId20"/>
        <x14:slicerCache r:id="rId21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3" i="22" l="1"/>
  <c r="H143" i="22"/>
  <c r="G143" i="22"/>
  <c r="N143" i="22"/>
  <c r="M143" i="22"/>
  <c r="L143" i="22"/>
  <c r="K143" i="22"/>
  <c r="F143" i="22"/>
  <c r="E143" i="22"/>
  <c r="K18" i="22"/>
  <c r="J18" i="22"/>
  <c r="C18" i="22"/>
  <c r="N18" i="20"/>
  <c r="G18" i="20"/>
  <c r="F18" i="20"/>
  <c r="I151" i="22"/>
  <c r="H151" i="22"/>
  <c r="N151" i="22"/>
  <c r="F151" i="22"/>
  <c r="G151" i="22"/>
  <c r="M134" i="22"/>
  <c r="K134" i="22"/>
  <c r="E134" i="22"/>
  <c r="D134" i="22"/>
  <c r="L134" i="22"/>
  <c r="M119" i="22"/>
  <c r="E119" i="22"/>
  <c r="J119" i="22"/>
  <c r="L119" i="22"/>
  <c r="D119" i="22"/>
  <c r="L111" i="22"/>
  <c r="K111" i="22"/>
  <c r="D111" i="22"/>
  <c r="N111" i="22"/>
  <c r="J111" i="22"/>
  <c r="E102" i="22"/>
  <c r="H102" i="22"/>
  <c r="N102" i="22"/>
  <c r="M102" i="22"/>
  <c r="D102" i="22"/>
  <c r="H87" i="22"/>
  <c r="K87" i="22"/>
  <c r="D87" i="22"/>
  <c r="L87" i="22"/>
  <c r="K79" i="22"/>
  <c r="J79" i="22"/>
  <c r="I79" i="22"/>
  <c r="N79" i="22"/>
  <c r="M79" i="22"/>
  <c r="G79" i="22"/>
  <c r="F79" i="22"/>
  <c r="E79" i="22"/>
  <c r="K70" i="22"/>
  <c r="D70" i="22"/>
  <c r="I70" i="22"/>
  <c r="H70" i="22"/>
  <c r="G70" i="22"/>
  <c r="E55" i="22"/>
  <c r="J55" i="22"/>
  <c r="H55" i="22"/>
  <c r="N55" i="22"/>
  <c r="M55" i="22"/>
  <c r="L55" i="22"/>
  <c r="I55" i="22"/>
  <c r="H45" i="22"/>
  <c r="G45" i="22"/>
  <c r="N45" i="22"/>
  <c r="M45" i="22"/>
  <c r="L45" i="22"/>
  <c r="K45" i="22"/>
  <c r="I45" i="22"/>
  <c r="D45" i="22"/>
  <c r="C45" i="22"/>
  <c r="N35" i="22"/>
  <c r="G35" i="22"/>
  <c r="J35" i="22"/>
  <c r="I35" i="22"/>
  <c r="H35" i="22"/>
  <c r="F35" i="22"/>
  <c r="J27" i="22"/>
  <c r="N27" i="22"/>
  <c r="M27" i="22"/>
  <c r="K27" i="22"/>
  <c r="G27" i="22"/>
  <c r="L27" i="22"/>
  <c r="H27" i="22"/>
  <c r="F27" i="22"/>
  <c r="C27" i="22"/>
  <c r="H92" i="21"/>
  <c r="G92" i="21"/>
  <c r="M92" i="21"/>
  <c r="L92" i="21"/>
  <c r="K92" i="21"/>
  <c r="D92" i="21"/>
  <c r="C92" i="21"/>
  <c r="N92" i="21"/>
  <c r="J92" i="21"/>
  <c r="F92" i="21"/>
  <c r="E92" i="21"/>
  <c r="J84" i="21"/>
  <c r="H84" i="21"/>
  <c r="N84" i="21"/>
  <c r="M84" i="21"/>
  <c r="L84" i="21"/>
  <c r="K84" i="21"/>
  <c r="I84" i="21"/>
  <c r="E84" i="21"/>
  <c r="D84" i="21"/>
  <c r="C84" i="21"/>
  <c r="G84" i="21"/>
  <c r="F84" i="21"/>
  <c r="N70" i="21"/>
  <c r="M70" i="21"/>
  <c r="F70" i="21"/>
  <c r="E70" i="21"/>
  <c r="L70" i="21"/>
  <c r="K70" i="21"/>
  <c r="J70" i="21"/>
  <c r="H70" i="21"/>
  <c r="C62" i="21"/>
  <c r="N62" i="21"/>
  <c r="M62" i="21"/>
  <c r="H62" i="21"/>
  <c r="G62" i="21"/>
  <c r="F62" i="21"/>
  <c r="L62" i="21"/>
  <c r="K62" i="21"/>
  <c r="J62" i="21"/>
  <c r="I62" i="21"/>
  <c r="D62" i="21"/>
  <c r="K48" i="21"/>
  <c r="E48" i="21"/>
  <c r="C48" i="21"/>
  <c r="I48" i="21"/>
  <c r="G48" i="21"/>
  <c r="N48" i="21"/>
  <c r="M48" i="21"/>
  <c r="J48" i="21"/>
  <c r="F48" i="21"/>
  <c r="F40" i="21"/>
  <c r="D40" i="21"/>
  <c r="I40" i="21"/>
  <c r="H40" i="21"/>
  <c r="E40" i="21"/>
  <c r="N40" i="21"/>
  <c r="M40" i="21"/>
  <c r="L40" i="21"/>
  <c r="K40" i="21"/>
  <c r="G40" i="21"/>
  <c r="G26" i="21"/>
  <c r="F26" i="21"/>
  <c r="E26" i="21"/>
  <c r="D26" i="21"/>
  <c r="K26" i="21"/>
  <c r="J26" i="21"/>
  <c r="H26" i="21"/>
  <c r="N26" i="21"/>
  <c r="M26" i="21"/>
  <c r="L18" i="21"/>
  <c r="E18" i="21"/>
  <c r="N18" i="21"/>
  <c r="H18" i="21"/>
  <c r="D18" i="21"/>
  <c r="J18" i="21"/>
  <c r="I18" i="21"/>
  <c r="F18" i="21"/>
  <c r="L151" i="20"/>
  <c r="K151" i="20"/>
  <c r="E151" i="20"/>
  <c r="D151" i="20"/>
  <c r="C151" i="20"/>
  <c r="G151" i="20"/>
  <c r="N151" i="20"/>
  <c r="J151" i="20"/>
  <c r="I151" i="20"/>
  <c r="H151" i="20"/>
  <c r="J143" i="20"/>
  <c r="H143" i="20"/>
  <c r="N143" i="20"/>
  <c r="M143" i="20"/>
  <c r="L143" i="20"/>
  <c r="I143" i="20"/>
  <c r="E143" i="20"/>
  <c r="K143" i="20"/>
  <c r="G143" i="20"/>
  <c r="F143" i="20"/>
  <c r="C143" i="20"/>
  <c r="N134" i="20"/>
  <c r="M134" i="20"/>
  <c r="L134" i="20"/>
  <c r="K134" i="20"/>
  <c r="J134" i="20"/>
  <c r="H134" i="20"/>
  <c r="F134" i="20"/>
  <c r="E134" i="20"/>
  <c r="D134" i="20"/>
  <c r="E119" i="20"/>
  <c r="I119" i="20"/>
  <c r="H119" i="20"/>
  <c r="G119" i="20"/>
  <c r="D119" i="20"/>
  <c r="N119" i="20"/>
  <c r="M119" i="20"/>
  <c r="L119" i="20"/>
  <c r="J119" i="20"/>
  <c r="F119" i="20"/>
  <c r="F111" i="20"/>
  <c r="E111" i="20"/>
  <c r="D111" i="20"/>
  <c r="J111" i="20"/>
  <c r="I111" i="20"/>
  <c r="H111" i="20"/>
  <c r="N111" i="20"/>
  <c r="M111" i="20"/>
  <c r="L111" i="20"/>
  <c r="K111" i="20"/>
  <c r="C111" i="20"/>
  <c r="I102" i="20"/>
  <c r="G102" i="20"/>
  <c r="N102" i="20"/>
  <c r="M102" i="20"/>
  <c r="L102" i="20"/>
  <c r="K102" i="20"/>
  <c r="F102" i="20"/>
  <c r="E102" i="20"/>
  <c r="D102" i="20"/>
  <c r="C102" i="20"/>
  <c r="N87" i="20"/>
  <c r="G87" i="20"/>
  <c r="K87" i="20"/>
  <c r="J87" i="20"/>
  <c r="F87" i="20"/>
  <c r="L87" i="20"/>
  <c r="H87" i="20"/>
  <c r="D87" i="20"/>
  <c r="C87" i="20"/>
  <c r="L79" i="20"/>
  <c r="J79" i="20"/>
  <c r="I79" i="20"/>
  <c r="E79" i="20"/>
  <c r="D79" i="20"/>
  <c r="C79" i="20"/>
  <c r="N79" i="20"/>
  <c r="M79" i="20"/>
  <c r="K70" i="20"/>
  <c r="I70" i="20"/>
  <c r="N70" i="20"/>
  <c r="J70" i="20"/>
  <c r="F70" i="20"/>
  <c r="L70" i="20"/>
  <c r="H70" i="20"/>
  <c r="E70" i="20"/>
  <c r="H55" i="20"/>
  <c r="G55" i="20"/>
  <c r="M55" i="20"/>
  <c r="L55" i="20"/>
  <c r="K55" i="20"/>
  <c r="D55" i="20"/>
  <c r="C55" i="20"/>
  <c r="N55" i="20"/>
  <c r="J55" i="20"/>
  <c r="E55" i="20"/>
  <c r="K45" i="20"/>
  <c r="J45" i="20"/>
  <c r="H45" i="20"/>
  <c r="C45" i="20"/>
  <c r="N45" i="20"/>
  <c r="M45" i="20"/>
  <c r="E45" i="20"/>
  <c r="L45" i="20"/>
  <c r="G45" i="20"/>
  <c r="F45" i="20"/>
  <c r="I35" i="20"/>
  <c r="N35" i="20"/>
  <c r="M35" i="20"/>
  <c r="L35" i="20"/>
  <c r="F35" i="20"/>
  <c r="E35" i="20"/>
  <c r="D35" i="20"/>
  <c r="K35" i="20"/>
  <c r="J35" i="20"/>
  <c r="H35" i="20"/>
  <c r="C35" i="20"/>
  <c r="E27" i="20"/>
  <c r="H27" i="20"/>
  <c r="G27" i="20"/>
  <c r="D27" i="20"/>
  <c r="N27" i="20"/>
  <c r="M27" i="20"/>
  <c r="L27" i="20"/>
  <c r="I27" i="20"/>
  <c r="F27" i="20"/>
  <c r="F92" i="19"/>
  <c r="E92" i="19"/>
  <c r="D92" i="19"/>
  <c r="J92" i="19"/>
  <c r="I92" i="19"/>
  <c r="H92" i="19"/>
  <c r="G92" i="19"/>
  <c r="C92" i="19"/>
  <c r="N92" i="19"/>
  <c r="M92" i="19"/>
  <c r="L92" i="19"/>
  <c r="K92" i="19"/>
  <c r="N84" i="19"/>
  <c r="M84" i="19"/>
  <c r="G84" i="19"/>
  <c r="F84" i="19"/>
  <c r="E84" i="19"/>
  <c r="K84" i="19"/>
  <c r="J84" i="19"/>
  <c r="I84" i="19"/>
  <c r="L84" i="19"/>
  <c r="H84" i="19"/>
  <c r="D84" i="19"/>
  <c r="C84" i="19"/>
  <c r="I70" i="19"/>
  <c r="H70" i="19"/>
  <c r="M70" i="19"/>
  <c r="K70" i="19"/>
  <c r="J70" i="19"/>
  <c r="G70" i="19"/>
  <c r="L70" i="19"/>
  <c r="E70" i="19"/>
  <c r="D70" i="19"/>
  <c r="C70" i="19"/>
  <c r="H62" i="19"/>
  <c r="G62" i="19"/>
  <c r="F62" i="19"/>
  <c r="L62" i="19"/>
  <c r="K62" i="19"/>
  <c r="D62" i="19"/>
  <c r="N62" i="19"/>
  <c r="M62" i="19"/>
  <c r="I62" i="19"/>
  <c r="E62" i="19"/>
  <c r="J48" i="19"/>
  <c r="H48" i="19"/>
  <c r="N48" i="19"/>
  <c r="M48" i="19"/>
  <c r="I48" i="19"/>
  <c r="E48" i="19"/>
  <c r="K48" i="19"/>
  <c r="G48" i="19"/>
  <c r="F48" i="19"/>
  <c r="C48" i="19"/>
  <c r="H40" i="19"/>
  <c r="N40" i="19"/>
  <c r="L40" i="19"/>
  <c r="J40" i="19"/>
  <c r="D40" i="19"/>
  <c r="K40" i="19"/>
  <c r="G40" i="19"/>
  <c r="E40" i="19"/>
  <c r="C40" i="19"/>
  <c r="I26" i="19"/>
  <c r="H26" i="19"/>
  <c r="N26" i="19"/>
  <c r="M26" i="19"/>
  <c r="L26" i="19"/>
  <c r="K26" i="19"/>
  <c r="J26" i="19"/>
  <c r="F26" i="19"/>
  <c r="E26" i="19"/>
  <c r="C26" i="19"/>
  <c r="G18" i="19"/>
  <c r="M18" i="19"/>
  <c r="L18" i="19"/>
  <c r="K18" i="19"/>
  <c r="H18" i="19"/>
  <c r="D18" i="19"/>
  <c r="C18" i="19"/>
  <c r="N18" i="19"/>
  <c r="J18" i="19"/>
  <c r="F18" i="19"/>
  <c r="K96" i="18"/>
  <c r="C96" i="18"/>
  <c r="N96" i="18"/>
  <c r="J96" i="18"/>
  <c r="I96" i="18"/>
  <c r="G96" i="18"/>
  <c r="I73" i="18"/>
  <c r="N73" i="18"/>
  <c r="M73" i="18"/>
  <c r="G73" i="18"/>
  <c r="F73" i="18"/>
  <c r="E73" i="18"/>
  <c r="L73" i="18"/>
  <c r="K73" i="18"/>
  <c r="H73" i="18"/>
  <c r="D73" i="18"/>
  <c r="K50" i="18"/>
  <c r="J50" i="18"/>
  <c r="C50" i="18"/>
  <c r="N50" i="18"/>
  <c r="G50" i="18"/>
  <c r="F50" i="18"/>
  <c r="M50" i="18"/>
  <c r="I50" i="18"/>
  <c r="H50" i="18"/>
  <c r="E50" i="18"/>
  <c r="M87" i="18"/>
  <c r="L87" i="18"/>
  <c r="K87" i="18"/>
  <c r="J87" i="18"/>
  <c r="E87" i="18"/>
  <c r="D87" i="18"/>
  <c r="N87" i="18"/>
  <c r="H87" i="18"/>
  <c r="G87" i="18"/>
  <c r="F87" i="18"/>
  <c r="C87" i="18"/>
  <c r="I87" i="18"/>
  <c r="K64" i="18"/>
  <c r="E64" i="18"/>
  <c r="C64" i="18"/>
  <c r="I64" i="18"/>
  <c r="G64" i="18"/>
  <c r="N64" i="18"/>
  <c r="M64" i="18"/>
  <c r="J64" i="18"/>
  <c r="F64" i="18"/>
  <c r="L41" i="18"/>
  <c r="K41" i="18"/>
  <c r="C41" i="18"/>
  <c r="I41" i="18"/>
  <c r="G41" i="18"/>
  <c r="D41" i="18"/>
  <c r="N41" i="18"/>
  <c r="J41" i="18"/>
  <c r="F41" i="18"/>
  <c r="I27" i="18"/>
  <c r="H27" i="18"/>
  <c r="G27" i="18"/>
  <c r="C27" i="18"/>
  <c r="D70" i="20" l="1"/>
  <c r="J102" i="20"/>
  <c r="D70" i="21"/>
  <c r="F55" i="22"/>
  <c r="D96" i="18"/>
  <c r="L96" i="18"/>
  <c r="H96" i="18"/>
  <c r="D48" i="19"/>
  <c r="L48" i="19"/>
  <c r="F70" i="19"/>
  <c r="N70" i="19"/>
  <c r="C27" i="20"/>
  <c r="K27" i="20"/>
  <c r="I45" i="20"/>
  <c r="M70" i="20"/>
  <c r="E87" i="20"/>
  <c r="M87" i="20"/>
  <c r="I87" i="20"/>
  <c r="C119" i="20"/>
  <c r="K119" i="20"/>
  <c r="G134" i="20"/>
  <c r="G18" i="21"/>
  <c r="I26" i="21"/>
  <c r="E62" i="21"/>
  <c r="I70" i="21"/>
  <c r="E27" i="22"/>
  <c r="G55" i="22"/>
  <c r="C70" i="22"/>
  <c r="G102" i="22"/>
  <c r="I111" i="22"/>
  <c r="E111" i="22"/>
  <c r="C134" i="22"/>
  <c r="I40" i="19"/>
  <c r="M40" i="19"/>
  <c r="G79" i="20"/>
  <c r="K79" i="20"/>
  <c r="H102" i="20"/>
  <c r="D48" i="21"/>
  <c r="L48" i="21"/>
  <c r="H48" i="21"/>
  <c r="E45" i="22"/>
  <c r="D55" i="22"/>
  <c r="F111" i="22"/>
  <c r="L64" i="18"/>
  <c r="N27" i="18"/>
  <c r="E41" i="18"/>
  <c r="M41" i="18"/>
  <c r="D50" i="18"/>
  <c r="L50" i="18"/>
  <c r="I18" i="19"/>
  <c r="G26" i="19"/>
  <c r="F40" i="19"/>
  <c r="I55" i="20"/>
  <c r="C70" i="20"/>
  <c r="G70" i="20"/>
  <c r="H79" i="20"/>
  <c r="M151" i="20"/>
  <c r="M18" i="21"/>
  <c r="J40" i="21"/>
  <c r="C70" i="21"/>
  <c r="E35" i="22"/>
  <c r="M35" i="22"/>
  <c r="J45" i="22"/>
  <c r="F45" i="22"/>
  <c r="C79" i="22"/>
  <c r="K119" i="22"/>
  <c r="I134" i="22"/>
  <c r="K18" i="17"/>
  <c r="M27" i="18"/>
  <c r="H41" i="18"/>
  <c r="D64" i="18"/>
  <c r="H64" i="18"/>
  <c r="E18" i="17"/>
  <c r="J27" i="20"/>
  <c r="F55" i="20"/>
  <c r="J70" i="22"/>
  <c r="D79" i="22"/>
  <c r="L79" i="22"/>
  <c r="I87" i="22"/>
  <c r="F102" i="22"/>
  <c r="J73" i="18"/>
  <c r="E96" i="18"/>
  <c r="J62" i="19"/>
  <c r="G35" i="20"/>
  <c r="G111" i="20"/>
  <c r="I134" i="20"/>
  <c r="C18" i="21"/>
  <c r="K18" i="21"/>
  <c r="L26" i="21"/>
  <c r="C55" i="22"/>
  <c r="K55" i="22"/>
  <c r="H18" i="20"/>
  <c r="D18" i="22"/>
  <c r="N134" i="22"/>
  <c r="I18" i="20"/>
  <c r="E18" i="22"/>
  <c r="M18" i="22"/>
  <c r="H111" i="22"/>
  <c r="C119" i="22"/>
  <c r="I27" i="22"/>
  <c r="C35" i="22"/>
  <c r="L70" i="22"/>
  <c r="H79" i="22"/>
  <c r="E87" i="22"/>
  <c r="M87" i="22"/>
  <c r="I102" i="22"/>
  <c r="G134" i="22"/>
  <c r="J151" i="22"/>
  <c r="J18" i="20"/>
  <c r="F18" i="22"/>
  <c r="N18" i="22"/>
  <c r="D35" i="22"/>
  <c r="L35" i="22"/>
  <c r="E70" i="22"/>
  <c r="M70" i="22"/>
  <c r="N87" i="22"/>
  <c r="J102" i="22"/>
  <c r="C111" i="22"/>
  <c r="F119" i="22"/>
  <c r="N119" i="22"/>
  <c r="H134" i="22"/>
  <c r="C151" i="22"/>
  <c r="K151" i="22"/>
  <c r="C18" i="20"/>
  <c r="K18" i="20"/>
  <c r="G18" i="22"/>
  <c r="G70" i="21"/>
  <c r="F70" i="22"/>
  <c r="N70" i="22"/>
  <c r="G87" i="22"/>
  <c r="C102" i="22"/>
  <c r="G119" i="22"/>
  <c r="D151" i="22"/>
  <c r="L151" i="22"/>
  <c r="D18" i="20"/>
  <c r="L18" i="20"/>
  <c r="H18" i="22"/>
  <c r="L102" i="22"/>
  <c r="M111" i="22"/>
  <c r="H119" i="22"/>
  <c r="J134" i="22"/>
  <c r="E151" i="22"/>
  <c r="M151" i="22"/>
  <c r="E18" i="20"/>
  <c r="M18" i="20"/>
  <c r="I18" i="22"/>
  <c r="J143" i="22"/>
  <c r="D27" i="22"/>
  <c r="K35" i="22"/>
  <c r="G111" i="22"/>
  <c r="F134" i="22"/>
  <c r="C143" i="22"/>
  <c r="D45" i="20"/>
  <c r="D143" i="20"/>
  <c r="F87" i="22"/>
  <c r="D26" i="19"/>
  <c r="C26" i="21"/>
  <c r="C73" i="18"/>
  <c r="E18" i="19"/>
  <c r="F151" i="20"/>
  <c r="K102" i="22"/>
  <c r="C134" i="20"/>
  <c r="I119" i="22"/>
  <c r="F79" i="20"/>
  <c r="L18" i="22"/>
  <c r="I92" i="21"/>
  <c r="D143" i="22"/>
  <c r="G18" i="18"/>
  <c r="J87" i="22"/>
  <c r="F18" i="18"/>
  <c r="L18" i="18"/>
  <c r="C40" i="21"/>
  <c r="H18" i="18"/>
  <c r="N18" i="18"/>
  <c r="C18" i="18"/>
  <c r="I18" i="18"/>
  <c r="D18" i="18"/>
  <c r="J18" i="18"/>
  <c r="M18" i="18"/>
  <c r="E18" i="18"/>
  <c r="K18" i="18"/>
  <c r="M96" i="18"/>
  <c r="D27" i="18"/>
  <c r="J27" i="18"/>
  <c r="E27" i="18"/>
  <c r="K27" i="18"/>
  <c r="F27" i="18"/>
  <c r="L27" i="18"/>
  <c r="F96" i="18"/>
  <c r="C62" i="19"/>
  <c r="C87" i="22"/>
  <c r="C18" i="17"/>
  <c r="I18" i="17"/>
  <c r="D18" i="17"/>
  <c r="J18" i="17"/>
  <c r="F18" i="17"/>
  <c r="L18" i="17"/>
  <c r="G18" i="17"/>
  <c r="M18" i="17"/>
  <c r="H18" i="17"/>
  <c r="D38" i="31" l="1"/>
  <c r="D38" i="29"/>
  <c r="J38" i="31"/>
  <c r="J38" i="29"/>
  <c r="D90" i="31"/>
  <c r="D90" i="29"/>
  <c r="J90" i="29"/>
  <c r="J90" i="31"/>
  <c r="D122" i="29"/>
  <c r="D122" i="31"/>
  <c r="J122" i="29"/>
  <c r="J122" i="31"/>
  <c r="D90" i="30"/>
  <c r="D24" i="30"/>
  <c r="D68" i="30"/>
  <c r="D46" i="30"/>
  <c r="J90" i="30"/>
  <c r="J24" i="30"/>
  <c r="J46" i="30"/>
  <c r="J68" i="30"/>
  <c r="D90" i="28"/>
  <c r="D68" i="28"/>
  <c r="D46" i="28"/>
  <c r="D24" i="28"/>
  <c r="J90" i="28"/>
  <c r="J68" i="28"/>
  <c r="J46" i="28"/>
  <c r="J24" i="28"/>
  <c r="D94" i="27"/>
  <c r="D71" i="27"/>
  <c r="D48" i="27"/>
  <c r="D25" i="27"/>
  <c r="D52" i="25"/>
  <c r="D46" i="26"/>
  <c r="D90" i="26"/>
  <c r="D24" i="26"/>
  <c r="D68" i="26"/>
  <c r="D20" i="25"/>
  <c r="D68" i="25"/>
  <c r="D36" i="25"/>
  <c r="J94" i="27"/>
  <c r="J71" i="27"/>
  <c r="J48" i="27"/>
  <c r="J90" i="26"/>
  <c r="J68" i="26"/>
  <c r="J52" i="25"/>
  <c r="J25" i="27"/>
  <c r="J46" i="26"/>
  <c r="J24" i="26"/>
  <c r="J68" i="25"/>
  <c r="J36" i="25"/>
  <c r="J20" i="25"/>
  <c r="G91" i="30"/>
  <c r="G47" i="30"/>
  <c r="G25" i="30"/>
  <c r="G69" i="30"/>
  <c r="G91" i="28"/>
  <c r="G69" i="28"/>
  <c r="G47" i="28"/>
  <c r="G25" i="28"/>
  <c r="G95" i="27"/>
  <c r="G72" i="27"/>
  <c r="G49" i="27"/>
  <c r="G26" i="27"/>
  <c r="G91" i="26"/>
  <c r="G47" i="26"/>
  <c r="G25" i="26"/>
  <c r="G70" i="25"/>
  <c r="G22" i="25"/>
  <c r="G69" i="26"/>
  <c r="G38" i="25"/>
  <c r="G54" i="25"/>
  <c r="M91" i="30"/>
  <c r="M47" i="30"/>
  <c r="M69" i="30"/>
  <c r="M25" i="30"/>
  <c r="M91" i="28"/>
  <c r="M69" i="28"/>
  <c r="M47" i="28"/>
  <c r="M25" i="28"/>
  <c r="M95" i="27"/>
  <c r="M72" i="27"/>
  <c r="M49" i="27"/>
  <c r="M26" i="27"/>
  <c r="M91" i="26"/>
  <c r="M47" i="26"/>
  <c r="M25" i="26"/>
  <c r="M70" i="25"/>
  <c r="M22" i="25"/>
  <c r="M69" i="26"/>
  <c r="M38" i="25"/>
  <c r="M54" i="25"/>
  <c r="E38" i="29"/>
  <c r="E38" i="31"/>
  <c r="K38" i="29"/>
  <c r="K38" i="31"/>
  <c r="E90" i="29"/>
  <c r="E90" i="31"/>
  <c r="K90" i="29"/>
  <c r="K90" i="31"/>
  <c r="E122" i="31"/>
  <c r="E122" i="29"/>
  <c r="K122" i="31"/>
  <c r="K122" i="29"/>
  <c r="E68" i="30"/>
  <c r="E24" i="30"/>
  <c r="E46" i="30"/>
  <c r="E90" i="30"/>
  <c r="K68" i="30"/>
  <c r="K24" i="30"/>
  <c r="K46" i="30"/>
  <c r="K90" i="30"/>
  <c r="E24" i="28"/>
  <c r="E68" i="28"/>
  <c r="E90" i="28"/>
  <c r="E46" i="28"/>
  <c r="K68" i="28"/>
  <c r="K90" i="28"/>
  <c r="K46" i="28"/>
  <c r="K24" i="28"/>
  <c r="E94" i="27"/>
  <c r="E71" i="27"/>
  <c r="E48" i="27"/>
  <c r="E46" i="26"/>
  <c r="E36" i="25"/>
  <c r="E90" i="26"/>
  <c r="E24" i="26"/>
  <c r="E68" i="26"/>
  <c r="E25" i="27"/>
  <c r="E52" i="25"/>
  <c r="E20" i="25"/>
  <c r="E68" i="25"/>
  <c r="K25" i="27"/>
  <c r="K46" i="26"/>
  <c r="K36" i="25"/>
  <c r="K24" i="26"/>
  <c r="K94" i="27"/>
  <c r="K71" i="27"/>
  <c r="K48" i="27"/>
  <c r="K90" i="26"/>
  <c r="K68" i="26"/>
  <c r="K52" i="25"/>
  <c r="K68" i="25"/>
  <c r="K20" i="25"/>
  <c r="H69" i="30"/>
  <c r="H91" i="30"/>
  <c r="H25" i="30"/>
  <c r="H91" i="28"/>
  <c r="H47" i="30"/>
  <c r="H69" i="28"/>
  <c r="H47" i="28"/>
  <c r="H25" i="28"/>
  <c r="H95" i="27"/>
  <c r="H72" i="27"/>
  <c r="H49" i="27"/>
  <c r="H26" i="27"/>
  <c r="H91" i="26"/>
  <c r="H69" i="26"/>
  <c r="H47" i="26"/>
  <c r="H25" i="26"/>
  <c r="H70" i="25"/>
  <c r="H22" i="25"/>
  <c r="H54" i="25"/>
  <c r="H38" i="25"/>
  <c r="N69" i="30"/>
  <c r="N91" i="30"/>
  <c r="N47" i="30"/>
  <c r="N25" i="30"/>
  <c r="N91" i="28"/>
  <c r="N69" i="28"/>
  <c r="N47" i="28"/>
  <c r="N25" i="28"/>
  <c r="N95" i="27"/>
  <c r="N72" i="27"/>
  <c r="N49" i="27"/>
  <c r="N26" i="27"/>
  <c r="N91" i="26"/>
  <c r="N69" i="26"/>
  <c r="N47" i="26"/>
  <c r="N25" i="26"/>
  <c r="N70" i="25"/>
  <c r="N22" i="25"/>
  <c r="N38" i="25"/>
  <c r="N54" i="25"/>
  <c r="F38" i="31"/>
  <c r="F38" i="29"/>
  <c r="L38" i="31"/>
  <c r="L38" i="29"/>
  <c r="F90" i="29"/>
  <c r="F90" i="31"/>
  <c r="L90" i="29"/>
  <c r="L90" i="31"/>
  <c r="F122" i="31"/>
  <c r="F122" i="29"/>
  <c r="L122" i="31"/>
  <c r="L122" i="29"/>
  <c r="F90" i="30"/>
  <c r="F46" i="30"/>
  <c r="F24" i="30"/>
  <c r="F68" i="30"/>
  <c r="L90" i="30"/>
  <c r="L46" i="30"/>
  <c r="L68" i="30"/>
  <c r="L24" i="30"/>
  <c r="F90" i="28"/>
  <c r="F68" i="28"/>
  <c r="F46" i="28"/>
  <c r="F24" i="28"/>
  <c r="L90" i="28"/>
  <c r="L68" i="28"/>
  <c r="L46" i="28"/>
  <c r="L24" i="28"/>
  <c r="F94" i="27"/>
  <c r="F71" i="27"/>
  <c r="F48" i="27"/>
  <c r="F36" i="25"/>
  <c r="F90" i="26"/>
  <c r="F24" i="26"/>
  <c r="F68" i="26"/>
  <c r="F25" i="27"/>
  <c r="F46" i="26"/>
  <c r="F68" i="25"/>
  <c r="F52" i="25"/>
  <c r="F20" i="25"/>
  <c r="L94" i="27"/>
  <c r="L71" i="27"/>
  <c r="L48" i="27"/>
  <c r="L25" i="27"/>
  <c r="L46" i="26"/>
  <c r="L36" i="25"/>
  <c r="L24" i="26"/>
  <c r="L90" i="26"/>
  <c r="L68" i="26"/>
  <c r="L52" i="25"/>
  <c r="L20" i="25"/>
  <c r="L68" i="25"/>
  <c r="C47" i="30"/>
  <c r="C91" i="30"/>
  <c r="C69" i="30"/>
  <c r="C25" i="30"/>
  <c r="C91" i="28"/>
  <c r="C47" i="28"/>
  <c r="C54" i="25"/>
  <c r="C69" i="26"/>
  <c r="C25" i="28"/>
  <c r="C95" i="27"/>
  <c r="C72" i="27"/>
  <c r="C49" i="27"/>
  <c r="C91" i="26"/>
  <c r="C47" i="26"/>
  <c r="C69" i="28"/>
  <c r="C26" i="27"/>
  <c r="C25" i="26"/>
  <c r="C70" i="25"/>
  <c r="C22" i="25"/>
  <c r="C38" i="25"/>
  <c r="I47" i="30"/>
  <c r="I91" i="30"/>
  <c r="I69" i="30"/>
  <c r="I91" i="28"/>
  <c r="I25" i="28"/>
  <c r="I95" i="27"/>
  <c r="I72" i="27"/>
  <c r="I49" i="27"/>
  <c r="I26" i="27"/>
  <c r="I54" i="25"/>
  <c r="I69" i="28"/>
  <c r="I69" i="26"/>
  <c r="I25" i="30"/>
  <c r="I47" i="28"/>
  <c r="I91" i="26"/>
  <c r="I47" i="26"/>
  <c r="I25" i="26"/>
  <c r="I70" i="25"/>
  <c r="I22" i="25"/>
  <c r="I38" i="25"/>
  <c r="G38" i="31"/>
  <c r="G38" i="29"/>
  <c r="M38" i="31"/>
  <c r="M38" i="29"/>
  <c r="G90" i="29"/>
  <c r="G90" i="31"/>
  <c r="M90" i="31"/>
  <c r="M90" i="29"/>
  <c r="G122" i="31"/>
  <c r="G122" i="29"/>
  <c r="M122" i="29"/>
  <c r="M122" i="31"/>
  <c r="G90" i="30"/>
  <c r="G46" i="30"/>
  <c r="G68" i="30"/>
  <c r="G24" i="30"/>
  <c r="M90" i="30"/>
  <c r="M24" i="30"/>
  <c r="M68" i="30"/>
  <c r="M46" i="30"/>
  <c r="G90" i="28"/>
  <c r="G68" i="28"/>
  <c r="G46" i="28"/>
  <c r="G24" i="28"/>
  <c r="M90" i="28"/>
  <c r="M68" i="28"/>
  <c r="M46" i="28"/>
  <c r="M24" i="28"/>
  <c r="G94" i="27"/>
  <c r="G71" i="27"/>
  <c r="G48" i="27"/>
  <c r="G25" i="27"/>
  <c r="G90" i="26"/>
  <c r="G24" i="26"/>
  <c r="G68" i="25"/>
  <c r="G20" i="25"/>
  <c r="G68" i="26"/>
  <c r="G46" i="26"/>
  <c r="G36" i="25"/>
  <c r="G52" i="25"/>
  <c r="M94" i="27"/>
  <c r="M71" i="27"/>
  <c r="M48" i="27"/>
  <c r="M25" i="27"/>
  <c r="M90" i="26"/>
  <c r="M24" i="26"/>
  <c r="M68" i="25"/>
  <c r="M20" i="25"/>
  <c r="M68" i="26"/>
  <c r="M46" i="26"/>
  <c r="M36" i="25"/>
  <c r="M52" i="25"/>
  <c r="D47" i="30"/>
  <c r="D69" i="30"/>
  <c r="D25" i="30"/>
  <c r="D91" i="30"/>
  <c r="D91" i="28"/>
  <c r="D69" i="28"/>
  <c r="D47" i="28"/>
  <c r="D25" i="28"/>
  <c r="D95" i="27"/>
  <c r="D72" i="27"/>
  <c r="D49" i="27"/>
  <c r="D54" i="25"/>
  <c r="D69" i="26"/>
  <c r="D91" i="26"/>
  <c r="D47" i="26"/>
  <c r="D26" i="27"/>
  <c r="D25" i="26"/>
  <c r="D22" i="25"/>
  <c r="D70" i="25"/>
  <c r="D38" i="25"/>
  <c r="J25" i="30"/>
  <c r="J69" i="30"/>
  <c r="J47" i="30"/>
  <c r="J69" i="28"/>
  <c r="J47" i="28"/>
  <c r="J25" i="28"/>
  <c r="J95" i="27"/>
  <c r="J72" i="27"/>
  <c r="J49" i="27"/>
  <c r="J26" i="27"/>
  <c r="J91" i="28"/>
  <c r="J91" i="30"/>
  <c r="J54" i="25"/>
  <c r="J69" i="26"/>
  <c r="J91" i="26"/>
  <c r="J47" i="26"/>
  <c r="J25" i="26"/>
  <c r="J70" i="25"/>
  <c r="J38" i="25"/>
  <c r="J22" i="25"/>
  <c r="H38" i="31"/>
  <c r="H38" i="29"/>
  <c r="N38" i="29"/>
  <c r="N38" i="31"/>
  <c r="H90" i="31"/>
  <c r="H90" i="29"/>
  <c r="N90" i="29"/>
  <c r="N90" i="31"/>
  <c r="H122" i="31"/>
  <c r="H122" i="29"/>
  <c r="N122" i="31"/>
  <c r="N122" i="29"/>
  <c r="H68" i="30"/>
  <c r="H90" i="30"/>
  <c r="H24" i="30"/>
  <c r="H46" i="30"/>
  <c r="N68" i="30"/>
  <c r="N90" i="30"/>
  <c r="N46" i="30"/>
  <c r="N24" i="30"/>
  <c r="H90" i="28"/>
  <c r="H68" i="28"/>
  <c r="H46" i="28"/>
  <c r="H24" i="28"/>
  <c r="N90" i="28"/>
  <c r="N68" i="28"/>
  <c r="N46" i="28"/>
  <c r="N24" i="28"/>
  <c r="H94" i="27"/>
  <c r="H71" i="27"/>
  <c r="H48" i="27"/>
  <c r="H25" i="27"/>
  <c r="H90" i="26"/>
  <c r="H68" i="26"/>
  <c r="H46" i="26"/>
  <c r="H24" i="26"/>
  <c r="H68" i="25"/>
  <c r="H20" i="25"/>
  <c r="H52" i="25"/>
  <c r="H36" i="25"/>
  <c r="N94" i="27"/>
  <c r="N71" i="27"/>
  <c r="N48" i="27"/>
  <c r="N25" i="27"/>
  <c r="N90" i="26"/>
  <c r="N68" i="26"/>
  <c r="N46" i="26"/>
  <c r="N24" i="26"/>
  <c r="N68" i="25"/>
  <c r="N20" i="25"/>
  <c r="N36" i="25"/>
  <c r="N52" i="25"/>
  <c r="E91" i="30"/>
  <c r="E69" i="30"/>
  <c r="E25" i="30"/>
  <c r="E47" i="30"/>
  <c r="E47" i="28"/>
  <c r="E69" i="26"/>
  <c r="E91" i="28"/>
  <c r="E91" i="26"/>
  <c r="E38" i="25"/>
  <c r="E25" i="28"/>
  <c r="E95" i="27"/>
  <c r="E72" i="27"/>
  <c r="E49" i="27"/>
  <c r="E47" i="26"/>
  <c r="E26" i="27"/>
  <c r="E25" i="26"/>
  <c r="E69" i="28"/>
  <c r="E54" i="25"/>
  <c r="E22" i="25"/>
  <c r="E70" i="25"/>
  <c r="K69" i="30"/>
  <c r="K25" i="30"/>
  <c r="K91" i="30"/>
  <c r="K47" i="30"/>
  <c r="K91" i="28"/>
  <c r="K25" i="28"/>
  <c r="K95" i="27"/>
  <c r="K72" i="27"/>
  <c r="K49" i="27"/>
  <c r="K26" i="27"/>
  <c r="K69" i="26"/>
  <c r="K38" i="25"/>
  <c r="K69" i="28"/>
  <c r="K91" i="26"/>
  <c r="K47" i="26"/>
  <c r="K25" i="26"/>
  <c r="K47" i="28"/>
  <c r="K54" i="25"/>
  <c r="K70" i="25"/>
  <c r="K22" i="25"/>
  <c r="I38" i="31"/>
  <c r="I38" i="29"/>
  <c r="I90" i="31"/>
  <c r="I90" i="29"/>
  <c r="I122" i="31"/>
  <c r="I122" i="29"/>
  <c r="C24" i="30"/>
  <c r="I46" i="30"/>
  <c r="I68" i="30"/>
  <c r="I90" i="30"/>
  <c r="I24" i="30"/>
  <c r="C90" i="28"/>
  <c r="C24" i="28"/>
  <c r="C68" i="28"/>
  <c r="C46" i="28"/>
  <c r="I90" i="28"/>
  <c r="I68" i="28"/>
  <c r="I46" i="28"/>
  <c r="I24" i="28"/>
  <c r="C68" i="26"/>
  <c r="C94" i="27"/>
  <c r="C71" i="27"/>
  <c r="C48" i="27"/>
  <c r="C25" i="27"/>
  <c r="C52" i="25"/>
  <c r="C46" i="26"/>
  <c r="C90" i="26"/>
  <c r="C24" i="26"/>
  <c r="C68" i="25"/>
  <c r="C20" i="25"/>
  <c r="C36" i="25"/>
  <c r="I90" i="26"/>
  <c r="I68" i="26"/>
  <c r="I52" i="25"/>
  <c r="I25" i="27"/>
  <c r="I46" i="26"/>
  <c r="I94" i="27"/>
  <c r="I71" i="27"/>
  <c r="I48" i="27"/>
  <c r="I24" i="26"/>
  <c r="I68" i="25"/>
  <c r="I20" i="25"/>
  <c r="I36" i="25"/>
  <c r="D148" i="22"/>
  <c r="D84" i="22"/>
  <c r="D89" i="21"/>
  <c r="E148" i="22"/>
  <c r="E76" i="22"/>
  <c r="E89" i="21"/>
  <c r="E23" i="21"/>
  <c r="K148" i="22"/>
  <c r="K108" i="22"/>
  <c r="K76" i="22"/>
  <c r="K67" i="21"/>
  <c r="E141" i="22"/>
  <c r="E77" i="22"/>
  <c r="K141" i="22"/>
  <c r="K117" i="22"/>
  <c r="J77" i="22"/>
  <c r="J141" i="22"/>
  <c r="F45" i="21"/>
  <c r="F84" i="22"/>
  <c r="F23" i="21"/>
  <c r="F67" i="21"/>
  <c r="L148" i="22"/>
  <c r="L116" i="22"/>
  <c r="L23" i="21"/>
  <c r="L84" i="22"/>
  <c r="F86" i="22"/>
  <c r="F110" i="22"/>
  <c r="F150" i="22"/>
  <c r="F141" i="22"/>
  <c r="F117" i="22"/>
  <c r="L141" i="22"/>
  <c r="L109" i="22"/>
  <c r="D84" i="17"/>
  <c r="G84" i="22"/>
  <c r="G45" i="21"/>
  <c r="G89" i="21"/>
  <c r="G148" i="22"/>
  <c r="M148" i="22"/>
  <c r="M45" i="21"/>
  <c r="M84" i="22"/>
  <c r="G109" i="22"/>
  <c r="G141" i="22"/>
  <c r="M77" i="22"/>
  <c r="J84" i="22"/>
  <c r="J23" i="21"/>
  <c r="H89" i="21"/>
  <c r="H23" i="21"/>
  <c r="H67" i="21"/>
  <c r="H148" i="22"/>
  <c r="N45" i="21"/>
  <c r="N148" i="22"/>
  <c r="N84" i="22"/>
  <c r="N23" i="21"/>
  <c r="H117" i="22"/>
  <c r="H85" i="22"/>
  <c r="N141" i="22"/>
  <c r="N109" i="22"/>
  <c r="N77" i="22"/>
  <c r="D85" i="22"/>
  <c r="D117" i="22"/>
  <c r="D141" i="22"/>
  <c r="C148" i="22"/>
  <c r="C116" i="22"/>
  <c r="C76" i="22"/>
  <c r="C89" i="21"/>
  <c r="I148" i="22"/>
  <c r="I116" i="22"/>
  <c r="I76" i="22"/>
  <c r="I89" i="21"/>
  <c r="I67" i="21"/>
  <c r="C85" i="22"/>
  <c r="C109" i="22"/>
  <c r="I109" i="22"/>
  <c r="I141" i="22"/>
  <c r="I85" i="22"/>
  <c r="F34" i="22"/>
  <c r="F69" i="21"/>
  <c r="F25" i="21"/>
  <c r="E46" i="21"/>
  <c r="F84" i="17"/>
  <c r="F62" i="17"/>
  <c r="F40" i="17"/>
  <c r="L84" i="17"/>
  <c r="L40" i="17"/>
  <c r="F38" i="22"/>
  <c r="L38" i="22"/>
  <c r="F90" i="21"/>
  <c r="F46" i="21"/>
  <c r="L90" i="21"/>
  <c r="L68" i="21"/>
  <c r="L46" i="21"/>
  <c r="L24" i="21"/>
  <c r="D40" i="17"/>
  <c r="E38" i="22"/>
  <c r="G84" i="17"/>
  <c r="G40" i="17"/>
  <c r="G62" i="17"/>
  <c r="G38" i="22"/>
  <c r="M38" i="22"/>
  <c r="G68" i="21"/>
  <c r="G46" i="21"/>
  <c r="G90" i="21"/>
  <c r="M24" i="21"/>
  <c r="M90" i="21"/>
  <c r="E84" i="17"/>
  <c r="E62" i="17"/>
  <c r="E40" i="17"/>
  <c r="K38" i="22"/>
  <c r="M84" i="17"/>
  <c r="M40" i="17"/>
  <c r="M62" i="17"/>
  <c r="H84" i="17"/>
  <c r="H40" i="17"/>
  <c r="H62" i="17"/>
  <c r="N84" i="17"/>
  <c r="N40" i="17"/>
  <c r="N18" i="17"/>
  <c r="N62" i="17"/>
  <c r="H38" i="22"/>
  <c r="N38" i="22"/>
  <c r="H46" i="21"/>
  <c r="H90" i="21"/>
  <c r="N46" i="21"/>
  <c r="N24" i="21"/>
  <c r="K84" i="17"/>
  <c r="K62" i="17"/>
  <c r="K40" i="17"/>
  <c r="G67" i="21"/>
  <c r="C62" i="17"/>
  <c r="C84" i="17"/>
  <c r="C40" i="17"/>
  <c r="I62" i="17"/>
  <c r="I40" i="17"/>
  <c r="I84" i="17"/>
  <c r="C38" i="22"/>
  <c r="I38" i="22"/>
  <c r="C24" i="21"/>
  <c r="I24" i="21"/>
  <c r="I90" i="21"/>
  <c r="I68" i="21"/>
  <c r="I46" i="21"/>
  <c r="K90" i="21"/>
  <c r="K68" i="21"/>
  <c r="K46" i="21"/>
  <c r="K24" i="21"/>
  <c r="M89" i="21"/>
  <c r="D62" i="17"/>
  <c r="J62" i="17"/>
  <c r="J40" i="17"/>
  <c r="J84" i="17"/>
  <c r="J38" i="22"/>
  <c r="D68" i="21"/>
  <c r="D46" i="21"/>
  <c r="J68" i="21"/>
  <c r="J46" i="21"/>
  <c r="J24" i="21"/>
  <c r="L62" i="17"/>
  <c r="M141" i="22"/>
  <c r="H141" i="22"/>
  <c r="C141" i="22"/>
  <c r="N140" i="22"/>
  <c r="K140" i="22"/>
  <c r="D140" i="22"/>
  <c r="N122" i="22"/>
  <c r="M122" i="22"/>
  <c r="L122" i="22"/>
  <c r="J122" i="22"/>
  <c r="I122" i="22"/>
  <c r="H122" i="22"/>
  <c r="G122" i="22"/>
  <c r="F122" i="22"/>
  <c r="E122" i="22"/>
  <c r="D122" i="22"/>
  <c r="C122" i="22"/>
  <c r="F118" i="22"/>
  <c r="J117" i="22"/>
  <c r="E117" i="22"/>
  <c r="C117" i="22"/>
  <c r="N116" i="22"/>
  <c r="M116" i="22"/>
  <c r="J116" i="22"/>
  <c r="H116" i="22"/>
  <c r="G116" i="22"/>
  <c r="F116" i="22"/>
  <c r="E116" i="22"/>
  <c r="D116" i="22"/>
  <c r="K109" i="22"/>
  <c r="J109" i="22"/>
  <c r="E109" i="22"/>
  <c r="N108" i="22"/>
  <c r="M108" i="22"/>
  <c r="L108" i="22"/>
  <c r="J108" i="22"/>
  <c r="H108" i="22"/>
  <c r="G108" i="22"/>
  <c r="F108" i="22"/>
  <c r="E108" i="22"/>
  <c r="D108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L85" i="22"/>
  <c r="G85" i="22"/>
  <c r="E85" i="22"/>
  <c r="I84" i="22"/>
  <c r="H84" i="22"/>
  <c r="C84" i="22"/>
  <c r="L77" i="22"/>
  <c r="I77" i="22"/>
  <c r="H77" i="22"/>
  <c r="G77" i="22"/>
  <c r="N76" i="22"/>
  <c r="H76" i="22"/>
  <c r="D38" i="22"/>
  <c r="F26" i="22"/>
  <c r="F91" i="21"/>
  <c r="N90" i="21"/>
  <c r="J90" i="21"/>
  <c r="E90" i="21"/>
  <c r="N89" i="21"/>
  <c r="L89" i="21"/>
  <c r="K89" i="21"/>
  <c r="J89" i="21"/>
  <c r="F89" i="21"/>
  <c r="N68" i="21"/>
  <c r="M68" i="21"/>
  <c r="H68" i="21"/>
  <c r="F68" i="21"/>
  <c r="E68" i="21"/>
  <c r="N67" i="21"/>
  <c r="M67" i="21"/>
  <c r="L67" i="21"/>
  <c r="J67" i="21"/>
  <c r="E67" i="21"/>
  <c r="D67" i="21"/>
  <c r="C67" i="21"/>
  <c r="F47" i="21"/>
  <c r="M46" i="21"/>
  <c r="L45" i="21"/>
  <c r="I45" i="21"/>
  <c r="H45" i="21"/>
  <c r="D45" i="21"/>
  <c r="C45" i="21"/>
  <c r="H24" i="21"/>
  <c r="G24" i="21"/>
  <c r="F24" i="21"/>
  <c r="E24" i="21"/>
  <c r="M23" i="21"/>
  <c r="K23" i="21"/>
  <c r="D23" i="21"/>
  <c r="C23" i="21"/>
  <c r="F79" i="21" l="1"/>
  <c r="F76" i="22"/>
  <c r="G76" i="22"/>
  <c r="M85" i="22"/>
  <c r="N117" i="22"/>
  <c r="G73" i="1"/>
  <c r="E140" i="22"/>
  <c r="L76" i="22"/>
  <c r="K116" i="22"/>
  <c r="F13" i="21"/>
  <c r="D109" i="22"/>
  <c r="C111" i="31"/>
  <c r="C102" i="31"/>
  <c r="C119" i="31"/>
  <c r="C79" i="29"/>
  <c r="C151" i="31"/>
  <c r="C143" i="31"/>
  <c r="C134" i="31"/>
  <c r="C87" i="31"/>
  <c r="C79" i="31"/>
  <c r="C18" i="31"/>
  <c r="C27" i="31"/>
  <c r="C35" i="31"/>
  <c r="C45" i="31"/>
  <c r="C55" i="31"/>
  <c r="C84" i="30"/>
  <c r="C70" i="31"/>
  <c r="C92" i="30"/>
  <c r="C45" i="29"/>
  <c r="C70" i="30"/>
  <c r="C62" i="30"/>
  <c r="C55" i="29"/>
  <c r="C87" i="29"/>
  <c r="C70" i="29"/>
  <c r="C26" i="30"/>
  <c r="C18" i="30"/>
  <c r="C151" i="29"/>
  <c r="C143" i="29"/>
  <c r="C134" i="29"/>
  <c r="C119" i="29"/>
  <c r="C111" i="29"/>
  <c r="C102" i="29"/>
  <c r="C48" i="30"/>
  <c r="C40" i="30"/>
  <c r="C70" i="28"/>
  <c r="C87" i="27"/>
  <c r="C73" i="27"/>
  <c r="C35" i="29"/>
  <c r="C27" i="29"/>
  <c r="C18" i="29"/>
  <c r="C92" i="28"/>
  <c r="C84" i="28"/>
  <c r="C96" i="27"/>
  <c r="C18" i="28"/>
  <c r="C26" i="28"/>
  <c r="C62" i="28"/>
  <c r="C48" i="28"/>
  <c r="C40" i="28"/>
  <c r="C50" i="27"/>
  <c r="C18" i="27"/>
  <c r="C92" i="26"/>
  <c r="C18" i="26"/>
  <c r="C41" i="27"/>
  <c r="C27" i="27"/>
  <c r="C26" i="26"/>
  <c r="C40" i="26"/>
  <c r="C64" i="27"/>
  <c r="C48" i="26"/>
  <c r="C70" i="26"/>
  <c r="C62" i="26"/>
  <c r="C84" i="26"/>
  <c r="M119" i="31"/>
  <c r="M79" i="29"/>
  <c r="M151" i="31"/>
  <c r="M143" i="31"/>
  <c r="M134" i="31"/>
  <c r="M111" i="31"/>
  <c r="M102" i="31"/>
  <c r="M55" i="31"/>
  <c r="M84" i="30"/>
  <c r="M70" i="31"/>
  <c r="M92" i="30"/>
  <c r="M87" i="31"/>
  <c r="M79" i="31"/>
  <c r="M18" i="31"/>
  <c r="M27" i="31"/>
  <c r="M35" i="31"/>
  <c r="M45" i="31"/>
  <c r="M70" i="30"/>
  <c r="M62" i="30"/>
  <c r="M48" i="30"/>
  <c r="M40" i="30"/>
  <c r="M45" i="29"/>
  <c r="M55" i="29"/>
  <c r="M87" i="29"/>
  <c r="M70" i="29"/>
  <c r="M26" i="30"/>
  <c r="M18" i="30"/>
  <c r="M151" i="29"/>
  <c r="M143" i="29"/>
  <c r="M134" i="29"/>
  <c r="M119" i="29"/>
  <c r="M111" i="29"/>
  <c r="M102" i="29"/>
  <c r="M62" i="28"/>
  <c r="M48" i="28"/>
  <c r="M40" i="28"/>
  <c r="M50" i="27"/>
  <c r="M64" i="27"/>
  <c r="M70" i="28"/>
  <c r="M87" i="27"/>
  <c r="M73" i="27"/>
  <c r="M35" i="29"/>
  <c r="M27" i="29"/>
  <c r="M18" i="29"/>
  <c r="M92" i="28"/>
  <c r="M84" i="28"/>
  <c r="M96" i="27"/>
  <c r="M18" i="28"/>
  <c r="M26" i="28"/>
  <c r="M70" i="26"/>
  <c r="M62" i="26"/>
  <c r="M84" i="26"/>
  <c r="M18" i="27"/>
  <c r="M92" i="26"/>
  <c r="M41" i="27"/>
  <c r="M27" i="27"/>
  <c r="M26" i="26"/>
  <c r="M18" i="26"/>
  <c r="M40" i="26"/>
  <c r="M48" i="26"/>
  <c r="J119" i="31"/>
  <c r="J79" i="29"/>
  <c r="J151" i="31"/>
  <c r="J143" i="31"/>
  <c r="J134" i="31"/>
  <c r="J27" i="31"/>
  <c r="J35" i="31"/>
  <c r="J111" i="31"/>
  <c r="J102" i="31"/>
  <c r="J45" i="31"/>
  <c r="J70" i="30"/>
  <c r="J62" i="30"/>
  <c r="J55" i="31"/>
  <c r="J70" i="31"/>
  <c r="J92" i="30"/>
  <c r="J87" i="31"/>
  <c r="J79" i="31"/>
  <c r="J18" i="31"/>
  <c r="J84" i="30"/>
  <c r="J55" i="29"/>
  <c r="J87" i="29"/>
  <c r="J70" i="29"/>
  <c r="J26" i="30"/>
  <c r="J18" i="30"/>
  <c r="J151" i="29"/>
  <c r="J143" i="29"/>
  <c r="J134" i="29"/>
  <c r="J119" i="29"/>
  <c r="J111" i="29"/>
  <c r="J102" i="29"/>
  <c r="J48" i="30"/>
  <c r="J40" i="30"/>
  <c r="J45" i="29"/>
  <c r="J35" i="29"/>
  <c r="J27" i="29"/>
  <c r="J18" i="29"/>
  <c r="J92" i="28"/>
  <c r="J84" i="28"/>
  <c r="J96" i="27"/>
  <c r="J18" i="28"/>
  <c r="J26" i="28"/>
  <c r="J62" i="28"/>
  <c r="J48" i="28"/>
  <c r="J40" i="28"/>
  <c r="J50" i="27"/>
  <c r="J64" i="27"/>
  <c r="J70" i="28"/>
  <c r="J87" i="27"/>
  <c r="J73" i="27"/>
  <c r="J41" i="27"/>
  <c r="J27" i="27"/>
  <c r="J26" i="26"/>
  <c r="J18" i="26"/>
  <c r="J40" i="26"/>
  <c r="J48" i="26"/>
  <c r="J70" i="26"/>
  <c r="J62" i="26"/>
  <c r="J84" i="26"/>
  <c r="J18" i="27"/>
  <c r="J92" i="26"/>
  <c r="F111" i="31"/>
  <c r="F102" i="31"/>
  <c r="F119" i="31"/>
  <c r="F45" i="31"/>
  <c r="F70" i="30"/>
  <c r="F62" i="30"/>
  <c r="F79" i="29"/>
  <c r="F55" i="31"/>
  <c r="F84" i="30"/>
  <c r="F70" i="31"/>
  <c r="F92" i="30"/>
  <c r="F151" i="31"/>
  <c r="F143" i="31"/>
  <c r="F134" i="31"/>
  <c r="F87" i="31"/>
  <c r="F79" i="31"/>
  <c r="F18" i="31"/>
  <c r="F27" i="31"/>
  <c r="F35" i="31"/>
  <c r="F26" i="30"/>
  <c r="F18" i="30"/>
  <c r="F151" i="29"/>
  <c r="F143" i="29"/>
  <c r="F134" i="29"/>
  <c r="F119" i="29"/>
  <c r="F111" i="29"/>
  <c r="F102" i="29"/>
  <c r="F48" i="30"/>
  <c r="F40" i="30"/>
  <c r="F45" i="29"/>
  <c r="F55" i="29"/>
  <c r="F26" i="28"/>
  <c r="F87" i="29"/>
  <c r="F70" i="29"/>
  <c r="F62" i="28"/>
  <c r="F48" i="28"/>
  <c r="F40" i="28"/>
  <c r="F50" i="27"/>
  <c r="F64" i="27"/>
  <c r="F70" i="28"/>
  <c r="F87" i="27"/>
  <c r="F73" i="27"/>
  <c r="F35" i="29"/>
  <c r="F27" i="29"/>
  <c r="F18" i="29"/>
  <c r="F92" i="28"/>
  <c r="F84" i="28"/>
  <c r="F96" i="27"/>
  <c r="F18" i="28"/>
  <c r="F48" i="26"/>
  <c r="F70" i="26"/>
  <c r="F62" i="26"/>
  <c r="F84" i="26"/>
  <c r="F18" i="27"/>
  <c r="F92" i="26"/>
  <c r="F41" i="27"/>
  <c r="F27" i="27"/>
  <c r="F26" i="26"/>
  <c r="F18" i="26"/>
  <c r="F40" i="26"/>
  <c r="I111" i="31"/>
  <c r="I102" i="31"/>
  <c r="I119" i="31"/>
  <c r="I79" i="29"/>
  <c r="I151" i="31"/>
  <c r="I143" i="31"/>
  <c r="I134" i="31"/>
  <c r="I87" i="31"/>
  <c r="I79" i="31"/>
  <c r="I18" i="31"/>
  <c r="I27" i="31"/>
  <c r="I35" i="31"/>
  <c r="I45" i="31"/>
  <c r="I55" i="31"/>
  <c r="I84" i="30"/>
  <c r="I70" i="31"/>
  <c r="I92" i="30"/>
  <c r="I70" i="30"/>
  <c r="I62" i="30"/>
  <c r="I45" i="29"/>
  <c r="I55" i="29"/>
  <c r="I87" i="29"/>
  <c r="I70" i="29"/>
  <c r="I26" i="30"/>
  <c r="I18" i="30"/>
  <c r="I151" i="29"/>
  <c r="I143" i="29"/>
  <c r="I134" i="29"/>
  <c r="I119" i="29"/>
  <c r="I111" i="29"/>
  <c r="I102" i="29"/>
  <c r="I48" i="30"/>
  <c r="I40" i="30"/>
  <c r="I70" i="28"/>
  <c r="I87" i="27"/>
  <c r="I73" i="27"/>
  <c r="I35" i="29"/>
  <c r="I27" i="29"/>
  <c r="I18" i="29"/>
  <c r="I92" i="28"/>
  <c r="I84" i="28"/>
  <c r="I96" i="27"/>
  <c r="I18" i="28"/>
  <c r="I26" i="28"/>
  <c r="I62" i="28"/>
  <c r="I48" i="28"/>
  <c r="I40" i="28"/>
  <c r="I50" i="27"/>
  <c r="I18" i="27"/>
  <c r="I92" i="26"/>
  <c r="I41" i="27"/>
  <c r="I27" i="27"/>
  <c r="I26" i="26"/>
  <c r="I18" i="26"/>
  <c r="I64" i="27"/>
  <c r="I40" i="26"/>
  <c r="I48" i="26"/>
  <c r="I70" i="26"/>
  <c r="I62" i="26"/>
  <c r="I84" i="26"/>
  <c r="N79" i="29"/>
  <c r="N151" i="31"/>
  <c r="N143" i="31"/>
  <c r="N134" i="31"/>
  <c r="N111" i="31"/>
  <c r="N102" i="31"/>
  <c r="N119" i="31"/>
  <c r="N70" i="31"/>
  <c r="N92" i="30"/>
  <c r="N87" i="31"/>
  <c r="N79" i="31"/>
  <c r="N18" i="31"/>
  <c r="N27" i="31"/>
  <c r="N35" i="31"/>
  <c r="N45" i="31"/>
  <c r="N70" i="30"/>
  <c r="N62" i="30"/>
  <c r="N55" i="31"/>
  <c r="N84" i="30"/>
  <c r="N45" i="29"/>
  <c r="N55" i="29"/>
  <c r="N87" i="29"/>
  <c r="N70" i="29"/>
  <c r="N26" i="30"/>
  <c r="N18" i="30"/>
  <c r="N151" i="29"/>
  <c r="N143" i="29"/>
  <c r="N134" i="29"/>
  <c r="N119" i="29"/>
  <c r="N111" i="29"/>
  <c r="N102" i="29"/>
  <c r="N48" i="30"/>
  <c r="N40" i="30"/>
  <c r="N64" i="27"/>
  <c r="N70" i="28"/>
  <c r="N87" i="27"/>
  <c r="N73" i="27"/>
  <c r="N35" i="29"/>
  <c r="N27" i="29"/>
  <c r="N18" i="29"/>
  <c r="N92" i="28"/>
  <c r="N84" i="28"/>
  <c r="N96" i="27"/>
  <c r="N18" i="28"/>
  <c r="N26" i="28"/>
  <c r="N62" i="28"/>
  <c r="N48" i="28"/>
  <c r="N40" i="28"/>
  <c r="N84" i="26"/>
  <c r="N50" i="27"/>
  <c r="N18" i="27"/>
  <c r="N92" i="26"/>
  <c r="N41" i="27"/>
  <c r="N27" i="27"/>
  <c r="N26" i="26"/>
  <c r="N18" i="26"/>
  <c r="N40" i="26"/>
  <c r="N48" i="26"/>
  <c r="N70" i="26"/>
  <c r="N62" i="26"/>
  <c r="H79" i="29"/>
  <c r="H151" i="31"/>
  <c r="H143" i="31"/>
  <c r="H134" i="31"/>
  <c r="H111" i="31"/>
  <c r="H102" i="31"/>
  <c r="H119" i="31"/>
  <c r="H70" i="31"/>
  <c r="H92" i="30"/>
  <c r="H87" i="31"/>
  <c r="H79" i="31"/>
  <c r="H18" i="31"/>
  <c r="H27" i="31"/>
  <c r="H35" i="31"/>
  <c r="H45" i="31"/>
  <c r="H70" i="30"/>
  <c r="H62" i="30"/>
  <c r="H55" i="31"/>
  <c r="H84" i="30"/>
  <c r="H45" i="29"/>
  <c r="H55" i="29"/>
  <c r="H87" i="29"/>
  <c r="H70" i="29"/>
  <c r="H26" i="30"/>
  <c r="H18" i="30"/>
  <c r="H151" i="29"/>
  <c r="H143" i="29"/>
  <c r="H134" i="29"/>
  <c r="H119" i="29"/>
  <c r="H111" i="29"/>
  <c r="H102" i="29"/>
  <c r="H48" i="30"/>
  <c r="H40" i="30"/>
  <c r="H64" i="27"/>
  <c r="H70" i="28"/>
  <c r="H87" i="27"/>
  <c r="H73" i="27"/>
  <c r="H35" i="29"/>
  <c r="H27" i="29"/>
  <c r="H18" i="29"/>
  <c r="H92" i="28"/>
  <c r="H84" i="28"/>
  <c r="H96" i="27"/>
  <c r="H18" i="28"/>
  <c r="H26" i="28"/>
  <c r="H62" i="28"/>
  <c r="H48" i="28"/>
  <c r="H40" i="28"/>
  <c r="H84" i="26"/>
  <c r="H18" i="27"/>
  <c r="H92" i="26"/>
  <c r="H50" i="27"/>
  <c r="H41" i="27"/>
  <c r="H27" i="27"/>
  <c r="H26" i="26"/>
  <c r="H18" i="26"/>
  <c r="H40" i="26"/>
  <c r="H48" i="26"/>
  <c r="H70" i="26"/>
  <c r="H62" i="26"/>
  <c r="L111" i="31"/>
  <c r="L102" i="31"/>
  <c r="L119" i="31"/>
  <c r="L79" i="29"/>
  <c r="L45" i="31"/>
  <c r="L70" i="30"/>
  <c r="L62" i="30"/>
  <c r="L55" i="31"/>
  <c r="L84" i="30"/>
  <c r="L151" i="31"/>
  <c r="L143" i="31"/>
  <c r="L134" i="31"/>
  <c r="L70" i="31"/>
  <c r="L92" i="30"/>
  <c r="L87" i="31"/>
  <c r="L79" i="31"/>
  <c r="L18" i="31"/>
  <c r="L27" i="31"/>
  <c r="L35" i="31"/>
  <c r="L26" i="30"/>
  <c r="L18" i="30"/>
  <c r="L151" i="29"/>
  <c r="L143" i="29"/>
  <c r="L134" i="29"/>
  <c r="L119" i="29"/>
  <c r="L111" i="29"/>
  <c r="L102" i="29"/>
  <c r="L48" i="30"/>
  <c r="L40" i="30"/>
  <c r="L45" i="29"/>
  <c r="L55" i="29"/>
  <c r="L87" i="29"/>
  <c r="L70" i="29"/>
  <c r="L26" i="28"/>
  <c r="L62" i="28"/>
  <c r="L48" i="28"/>
  <c r="L40" i="28"/>
  <c r="L50" i="27"/>
  <c r="L64" i="27"/>
  <c r="L70" i="28"/>
  <c r="L87" i="27"/>
  <c r="L73" i="27"/>
  <c r="L35" i="29"/>
  <c r="L27" i="29"/>
  <c r="L18" i="29"/>
  <c r="L92" i="28"/>
  <c r="L84" i="28"/>
  <c r="L96" i="27"/>
  <c r="L18" i="28"/>
  <c r="L48" i="26"/>
  <c r="L70" i="26"/>
  <c r="L62" i="26"/>
  <c r="L84" i="26"/>
  <c r="L18" i="27"/>
  <c r="L92" i="26"/>
  <c r="L41" i="27"/>
  <c r="L27" i="27"/>
  <c r="L26" i="26"/>
  <c r="L18" i="26"/>
  <c r="L40" i="26"/>
  <c r="K111" i="31"/>
  <c r="K102" i="31"/>
  <c r="K79" i="29"/>
  <c r="K151" i="31"/>
  <c r="K143" i="31"/>
  <c r="K134" i="31"/>
  <c r="K35" i="31"/>
  <c r="K45" i="31"/>
  <c r="K70" i="30"/>
  <c r="K62" i="30"/>
  <c r="K119" i="31"/>
  <c r="K55" i="31"/>
  <c r="K84" i="30"/>
  <c r="K70" i="31"/>
  <c r="K92" i="30"/>
  <c r="K87" i="31"/>
  <c r="K79" i="31"/>
  <c r="K18" i="31"/>
  <c r="K27" i="31"/>
  <c r="K87" i="29"/>
  <c r="K70" i="29"/>
  <c r="K26" i="30"/>
  <c r="K18" i="30"/>
  <c r="K151" i="29"/>
  <c r="K143" i="29"/>
  <c r="K134" i="29"/>
  <c r="K119" i="29"/>
  <c r="K111" i="29"/>
  <c r="K102" i="29"/>
  <c r="K48" i="30"/>
  <c r="K40" i="30"/>
  <c r="K45" i="29"/>
  <c r="K55" i="29"/>
  <c r="K18" i="28"/>
  <c r="K26" i="28"/>
  <c r="K62" i="28"/>
  <c r="K48" i="28"/>
  <c r="K40" i="28"/>
  <c r="K50" i="27"/>
  <c r="K64" i="27"/>
  <c r="K70" i="28"/>
  <c r="K87" i="27"/>
  <c r="K73" i="27"/>
  <c r="K35" i="29"/>
  <c r="K27" i="29"/>
  <c r="K18" i="29"/>
  <c r="K92" i="28"/>
  <c r="K84" i="28"/>
  <c r="K96" i="27"/>
  <c r="K40" i="26"/>
  <c r="K48" i="26"/>
  <c r="K70" i="26"/>
  <c r="K62" i="26"/>
  <c r="K84" i="26"/>
  <c r="K18" i="27"/>
  <c r="K92" i="26"/>
  <c r="K41" i="27"/>
  <c r="K27" i="27"/>
  <c r="K26" i="26"/>
  <c r="K18" i="26"/>
  <c r="G119" i="31"/>
  <c r="G79" i="29"/>
  <c r="G151" i="31"/>
  <c r="G143" i="31"/>
  <c r="G134" i="31"/>
  <c r="G111" i="31"/>
  <c r="G102" i="31"/>
  <c r="G55" i="31"/>
  <c r="G84" i="30"/>
  <c r="G70" i="31"/>
  <c r="G92" i="30"/>
  <c r="G87" i="31"/>
  <c r="G79" i="31"/>
  <c r="G18" i="31"/>
  <c r="G27" i="31"/>
  <c r="G35" i="31"/>
  <c r="G45" i="31"/>
  <c r="G70" i="30"/>
  <c r="G62" i="30"/>
  <c r="G48" i="30"/>
  <c r="G40" i="30"/>
  <c r="G45" i="29"/>
  <c r="G55" i="29"/>
  <c r="G87" i="29"/>
  <c r="G70" i="29"/>
  <c r="G26" i="30"/>
  <c r="G18" i="30"/>
  <c r="G151" i="29"/>
  <c r="G143" i="29"/>
  <c r="G134" i="29"/>
  <c r="G119" i="29"/>
  <c r="G111" i="29"/>
  <c r="G102" i="29"/>
  <c r="G62" i="28"/>
  <c r="G48" i="28"/>
  <c r="G40" i="28"/>
  <c r="G50" i="27"/>
  <c r="G64" i="27"/>
  <c r="G70" i="28"/>
  <c r="G87" i="27"/>
  <c r="G73" i="27"/>
  <c r="G35" i="29"/>
  <c r="G27" i="29"/>
  <c r="G18" i="29"/>
  <c r="G92" i="28"/>
  <c r="G84" i="28"/>
  <c r="G96" i="27"/>
  <c r="G18" i="28"/>
  <c r="G26" i="28"/>
  <c r="G70" i="26"/>
  <c r="G62" i="26"/>
  <c r="G84" i="26"/>
  <c r="G18" i="27"/>
  <c r="G92" i="26"/>
  <c r="G41" i="27"/>
  <c r="G27" i="27"/>
  <c r="G26" i="26"/>
  <c r="G18" i="26"/>
  <c r="G40" i="26"/>
  <c r="G48" i="26"/>
  <c r="E111" i="31"/>
  <c r="E102" i="31"/>
  <c r="E79" i="29"/>
  <c r="E151" i="31"/>
  <c r="E143" i="31"/>
  <c r="E134" i="31"/>
  <c r="E35" i="31"/>
  <c r="E45" i="31"/>
  <c r="E70" i="30"/>
  <c r="E62" i="30"/>
  <c r="E55" i="31"/>
  <c r="E84" i="30"/>
  <c r="E119" i="31"/>
  <c r="E70" i="31"/>
  <c r="E92" i="30"/>
  <c r="E87" i="31"/>
  <c r="E79" i="31"/>
  <c r="E18" i="31"/>
  <c r="E27" i="31"/>
  <c r="E87" i="29"/>
  <c r="E70" i="29"/>
  <c r="E26" i="30"/>
  <c r="E18" i="30"/>
  <c r="E151" i="29"/>
  <c r="E143" i="29"/>
  <c r="E134" i="29"/>
  <c r="E119" i="29"/>
  <c r="E111" i="29"/>
  <c r="E102" i="29"/>
  <c r="E48" i="30"/>
  <c r="E40" i="30"/>
  <c r="E45" i="29"/>
  <c r="E18" i="28"/>
  <c r="E55" i="29"/>
  <c r="E26" i="28"/>
  <c r="E62" i="28"/>
  <c r="E48" i="28"/>
  <c r="E40" i="28"/>
  <c r="E50" i="27"/>
  <c r="E64" i="27"/>
  <c r="E70" i="28"/>
  <c r="E87" i="27"/>
  <c r="E73" i="27"/>
  <c r="E35" i="29"/>
  <c r="E27" i="29"/>
  <c r="E18" i="29"/>
  <c r="E92" i="28"/>
  <c r="E84" i="28"/>
  <c r="E96" i="27"/>
  <c r="E40" i="26"/>
  <c r="E48" i="26"/>
  <c r="E70" i="26"/>
  <c r="E62" i="26"/>
  <c r="E84" i="26"/>
  <c r="E18" i="27"/>
  <c r="E92" i="26"/>
  <c r="E41" i="27"/>
  <c r="E27" i="27"/>
  <c r="E26" i="26"/>
  <c r="E18" i="26"/>
  <c r="D119" i="31"/>
  <c r="D79" i="29"/>
  <c r="D151" i="31"/>
  <c r="D143" i="31"/>
  <c r="D134" i="31"/>
  <c r="D27" i="31"/>
  <c r="D35" i="31"/>
  <c r="D45" i="31"/>
  <c r="D70" i="30"/>
  <c r="D62" i="30"/>
  <c r="D111" i="31"/>
  <c r="D102" i="31"/>
  <c r="D55" i="31"/>
  <c r="D70" i="31"/>
  <c r="D92" i="30"/>
  <c r="D87" i="31"/>
  <c r="D79" i="31"/>
  <c r="D18" i="31"/>
  <c r="D55" i="29"/>
  <c r="D84" i="30"/>
  <c r="D87" i="29"/>
  <c r="D70" i="29"/>
  <c r="D26" i="30"/>
  <c r="D18" i="30"/>
  <c r="D151" i="29"/>
  <c r="D143" i="29"/>
  <c r="D134" i="29"/>
  <c r="D119" i="29"/>
  <c r="D111" i="29"/>
  <c r="D102" i="29"/>
  <c r="D48" i="30"/>
  <c r="D40" i="30"/>
  <c r="D35" i="29"/>
  <c r="D27" i="29"/>
  <c r="D18" i="29"/>
  <c r="D92" i="28"/>
  <c r="D84" i="28"/>
  <c r="D96" i="27"/>
  <c r="D45" i="29"/>
  <c r="D18" i="28"/>
  <c r="D26" i="28"/>
  <c r="D62" i="28"/>
  <c r="D48" i="28"/>
  <c r="D40" i="28"/>
  <c r="D50" i="27"/>
  <c r="D64" i="27"/>
  <c r="D70" i="28"/>
  <c r="D87" i="27"/>
  <c r="D73" i="27"/>
  <c r="D41" i="27"/>
  <c r="D27" i="27"/>
  <c r="D26" i="26"/>
  <c r="D18" i="26"/>
  <c r="D40" i="26"/>
  <c r="D48" i="26"/>
  <c r="D70" i="26"/>
  <c r="D62" i="26"/>
  <c r="D84" i="26"/>
  <c r="D18" i="27"/>
  <c r="D92" i="26"/>
  <c r="M76" i="22"/>
  <c r="K122" i="22"/>
  <c r="H140" i="22"/>
  <c r="D76" i="22"/>
  <c r="K84" i="22"/>
  <c r="L117" i="22"/>
  <c r="N85" i="22"/>
  <c r="H109" i="22"/>
  <c r="G117" i="22"/>
  <c r="E84" i="22"/>
  <c r="F109" i="22"/>
  <c r="J76" i="22"/>
  <c r="J85" i="22"/>
  <c r="L140" i="22"/>
  <c r="F142" i="22"/>
  <c r="D77" i="22"/>
  <c r="M73" i="1"/>
  <c r="M61" i="1" s="1"/>
  <c r="I117" i="22"/>
  <c r="F97" i="22"/>
  <c r="G140" i="22"/>
  <c r="F115" i="22"/>
  <c r="M140" i="22"/>
  <c r="F40" i="22"/>
  <c r="F50" i="22"/>
  <c r="C140" i="22"/>
  <c r="I140" i="22"/>
  <c r="F88" i="21"/>
  <c r="I139" i="31"/>
  <c r="I13" i="31"/>
  <c r="I50" i="31"/>
  <c r="I50" i="29"/>
  <c r="I40" i="29"/>
  <c r="I40" i="31"/>
  <c r="K139" i="31"/>
  <c r="K13" i="31"/>
  <c r="K50" i="31"/>
  <c r="K40" i="31"/>
  <c r="K40" i="29"/>
  <c r="K50" i="29"/>
  <c r="E73" i="1"/>
  <c r="J139" i="31"/>
  <c r="J147" i="31"/>
  <c r="J40" i="31"/>
  <c r="J50" i="31"/>
  <c r="J13" i="31"/>
  <c r="J50" i="29"/>
  <c r="J40" i="29"/>
  <c r="J129" i="31"/>
  <c r="F35" i="21"/>
  <c r="C85" i="29"/>
  <c r="C77" i="29"/>
  <c r="C122" i="29"/>
  <c r="C90" i="31"/>
  <c r="C38" i="29"/>
  <c r="K118" i="29"/>
  <c r="K110" i="29"/>
  <c r="E26" i="29"/>
  <c r="E34" i="29"/>
  <c r="N25" i="29"/>
  <c r="N33" i="29"/>
  <c r="H109" i="29"/>
  <c r="H117" i="29"/>
  <c r="H85" i="31"/>
  <c r="H77" i="31"/>
  <c r="D142" i="29"/>
  <c r="D150" i="29"/>
  <c r="D78" i="29"/>
  <c r="D86" i="29"/>
  <c r="M77" i="29"/>
  <c r="M85" i="29"/>
  <c r="G109" i="29"/>
  <c r="G117" i="29"/>
  <c r="G85" i="31"/>
  <c r="G77" i="31"/>
  <c r="C150" i="29"/>
  <c r="C142" i="29"/>
  <c r="C110" i="29"/>
  <c r="C118" i="29"/>
  <c r="L85" i="29"/>
  <c r="L77" i="29"/>
  <c r="F25" i="29"/>
  <c r="F33" i="29"/>
  <c r="N118" i="29"/>
  <c r="N110" i="29"/>
  <c r="N118" i="31"/>
  <c r="N110" i="31"/>
  <c r="K25" i="29"/>
  <c r="K33" i="29"/>
  <c r="E85" i="29"/>
  <c r="E77" i="29"/>
  <c r="G150" i="29"/>
  <c r="G142" i="29"/>
  <c r="G118" i="29"/>
  <c r="G110" i="29"/>
  <c r="D33" i="29"/>
  <c r="D25" i="29"/>
  <c r="F91" i="30"/>
  <c r="F47" i="30"/>
  <c r="F69" i="30"/>
  <c r="F25" i="30"/>
  <c r="F91" i="28"/>
  <c r="F69" i="28"/>
  <c r="F47" i="28"/>
  <c r="F25" i="28"/>
  <c r="F95" i="27"/>
  <c r="F72" i="27"/>
  <c r="F49" i="27"/>
  <c r="F91" i="26"/>
  <c r="F38" i="25"/>
  <c r="F47" i="26"/>
  <c r="F26" i="27"/>
  <c r="F25" i="26"/>
  <c r="F69" i="26"/>
  <c r="F70" i="25"/>
  <c r="F54" i="25"/>
  <c r="F22" i="25"/>
  <c r="E139" i="31"/>
  <c r="E13" i="31"/>
  <c r="E40" i="31"/>
  <c r="E50" i="29"/>
  <c r="E40" i="29"/>
  <c r="E50" i="31"/>
  <c r="I85" i="29"/>
  <c r="I77" i="29"/>
  <c r="C149" i="29"/>
  <c r="C141" i="29"/>
  <c r="I85" i="31"/>
  <c r="I77" i="31"/>
  <c r="C85" i="31"/>
  <c r="C77" i="31"/>
  <c r="K34" i="29"/>
  <c r="K26" i="29"/>
  <c r="K150" i="29"/>
  <c r="K142" i="29"/>
  <c r="E86" i="31"/>
  <c r="E78" i="31"/>
  <c r="N149" i="29"/>
  <c r="N141" i="29"/>
  <c r="H117" i="31"/>
  <c r="H109" i="31"/>
  <c r="D34" i="29"/>
  <c r="D26" i="29"/>
  <c r="M149" i="29"/>
  <c r="M141" i="29"/>
  <c r="G33" i="29"/>
  <c r="G25" i="29"/>
  <c r="M117" i="31"/>
  <c r="M109" i="31"/>
  <c r="G117" i="31"/>
  <c r="G109" i="31"/>
  <c r="I118" i="29"/>
  <c r="I110" i="29"/>
  <c r="C26" i="29"/>
  <c r="C34" i="29"/>
  <c r="C78" i="31"/>
  <c r="C86" i="31"/>
  <c r="F77" i="29"/>
  <c r="F85" i="29"/>
  <c r="L85" i="31"/>
  <c r="L77" i="31"/>
  <c r="H26" i="29"/>
  <c r="H34" i="29"/>
  <c r="E33" i="29"/>
  <c r="E25" i="29"/>
  <c r="M86" i="31"/>
  <c r="M78" i="31"/>
  <c r="J33" i="29"/>
  <c r="J25" i="29"/>
  <c r="D77" i="31"/>
  <c r="D85" i="31"/>
  <c r="M139" i="31"/>
  <c r="M40" i="31"/>
  <c r="M13" i="31"/>
  <c r="M50" i="31"/>
  <c r="M50" i="29"/>
  <c r="M40" i="29"/>
  <c r="C139" i="31"/>
  <c r="C50" i="31"/>
  <c r="C40" i="31"/>
  <c r="C13" i="31"/>
  <c r="C50" i="29"/>
  <c r="C40" i="29"/>
  <c r="G139" i="31"/>
  <c r="G50" i="31"/>
  <c r="G40" i="31"/>
  <c r="G50" i="29"/>
  <c r="G40" i="29"/>
  <c r="G13" i="31"/>
  <c r="C33" i="29"/>
  <c r="C25" i="29"/>
  <c r="K78" i="29"/>
  <c r="K86" i="29"/>
  <c r="E26" i="31"/>
  <c r="E34" i="31"/>
  <c r="N109" i="29"/>
  <c r="N117" i="29"/>
  <c r="J86" i="29"/>
  <c r="J78" i="29"/>
  <c r="J34" i="31"/>
  <c r="J26" i="31"/>
  <c r="D34" i="31"/>
  <c r="D26" i="31"/>
  <c r="D110" i="29"/>
  <c r="D118" i="29"/>
  <c r="D118" i="31"/>
  <c r="D110" i="31"/>
  <c r="M117" i="29"/>
  <c r="M109" i="29"/>
  <c r="M77" i="31"/>
  <c r="M85" i="31"/>
  <c r="I34" i="29"/>
  <c r="I26" i="29"/>
  <c r="I150" i="29"/>
  <c r="I142" i="29"/>
  <c r="I118" i="31"/>
  <c r="I110" i="31"/>
  <c r="L117" i="29"/>
  <c r="L109" i="29"/>
  <c r="F109" i="29"/>
  <c r="F117" i="29"/>
  <c r="L117" i="31"/>
  <c r="L109" i="31"/>
  <c r="N78" i="29"/>
  <c r="N86" i="29"/>
  <c r="E117" i="29"/>
  <c r="E109" i="29"/>
  <c r="K117" i="31"/>
  <c r="K109" i="31"/>
  <c r="M86" i="29"/>
  <c r="M78" i="29"/>
  <c r="G34" i="29"/>
  <c r="G26" i="29"/>
  <c r="J141" i="29"/>
  <c r="J149" i="29"/>
  <c r="D77" i="29"/>
  <c r="D85" i="29"/>
  <c r="F22" i="21"/>
  <c r="F107" i="22"/>
  <c r="N139" i="31"/>
  <c r="N50" i="31"/>
  <c r="N40" i="31"/>
  <c r="N13" i="31"/>
  <c r="N50" i="29"/>
  <c r="N40" i="29"/>
  <c r="I25" i="29"/>
  <c r="I33" i="29"/>
  <c r="C117" i="29"/>
  <c r="C109" i="29"/>
  <c r="K78" i="31"/>
  <c r="K86" i="31"/>
  <c r="E86" i="29"/>
  <c r="E78" i="29"/>
  <c r="E118" i="31"/>
  <c r="E110" i="31"/>
  <c r="H25" i="29"/>
  <c r="H33" i="29"/>
  <c r="M33" i="29"/>
  <c r="M25" i="29"/>
  <c r="C110" i="31"/>
  <c r="C118" i="31"/>
  <c r="L33" i="29"/>
  <c r="L25" i="29"/>
  <c r="F149" i="29"/>
  <c r="F141" i="29"/>
  <c r="F117" i="31"/>
  <c r="F109" i="31"/>
  <c r="F85" i="31"/>
  <c r="F77" i="31"/>
  <c r="H86" i="31"/>
  <c r="H78" i="31"/>
  <c r="K77" i="29"/>
  <c r="K85" i="29"/>
  <c r="E149" i="29"/>
  <c r="E141" i="29"/>
  <c r="E77" i="31"/>
  <c r="E85" i="31"/>
  <c r="M150" i="29"/>
  <c r="M142" i="29"/>
  <c r="M118" i="31"/>
  <c r="M110" i="31"/>
  <c r="G86" i="31"/>
  <c r="G78" i="31"/>
  <c r="D109" i="29"/>
  <c r="D117" i="29"/>
  <c r="J85" i="31"/>
  <c r="J77" i="31"/>
  <c r="H139" i="31"/>
  <c r="H50" i="31"/>
  <c r="H40" i="31"/>
  <c r="H13" i="31"/>
  <c r="H50" i="29"/>
  <c r="H40" i="29"/>
  <c r="I117" i="29"/>
  <c r="I109" i="29"/>
  <c r="C90" i="29"/>
  <c r="K118" i="31"/>
  <c r="K110" i="31"/>
  <c r="K34" i="31"/>
  <c r="K26" i="31"/>
  <c r="H85" i="29"/>
  <c r="H77" i="29"/>
  <c r="N85" i="31"/>
  <c r="N77" i="31"/>
  <c r="J142" i="29"/>
  <c r="J150" i="29"/>
  <c r="J86" i="31"/>
  <c r="J78" i="31"/>
  <c r="J110" i="29"/>
  <c r="J118" i="29"/>
  <c r="G77" i="29"/>
  <c r="G85" i="29"/>
  <c r="I34" i="31"/>
  <c r="I31" i="31" s="1"/>
  <c r="I26" i="31"/>
  <c r="C26" i="31"/>
  <c r="C34" i="31"/>
  <c r="N150" i="29"/>
  <c r="N142" i="29"/>
  <c r="H78" i="29"/>
  <c r="H86" i="29"/>
  <c r="H150" i="29"/>
  <c r="H142" i="29"/>
  <c r="H110" i="31"/>
  <c r="H118" i="31"/>
  <c r="K109" i="29"/>
  <c r="K117" i="29"/>
  <c r="K77" i="31"/>
  <c r="K85" i="31"/>
  <c r="E117" i="31"/>
  <c r="E109" i="31"/>
  <c r="M26" i="31"/>
  <c r="M34" i="31"/>
  <c r="G118" i="31"/>
  <c r="G110" i="31"/>
  <c r="J85" i="29"/>
  <c r="J77" i="29"/>
  <c r="F44" i="21"/>
  <c r="L91" i="30"/>
  <c r="L47" i="30"/>
  <c r="L25" i="30"/>
  <c r="L69" i="28"/>
  <c r="L47" i="28"/>
  <c r="L25" i="28"/>
  <c r="L95" i="27"/>
  <c r="L72" i="27"/>
  <c r="L49" i="27"/>
  <c r="L26" i="27"/>
  <c r="L91" i="28"/>
  <c r="L69" i="26"/>
  <c r="L38" i="25"/>
  <c r="L69" i="30"/>
  <c r="L91" i="26"/>
  <c r="L47" i="26"/>
  <c r="L25" i="26"/>
  <c r="L54" i="25"/>
  <c r="L22" i="25"/>
  <c r="L70" i="25"/>
  <c r="D139" i="31"/>
  <c r="D147" i="31"/>
  <c r="D129" i="31"/>
  <c r="D50" i="31"/>
  <c r="D40" i="31"/>
  <c r="D13" i="31"/>
  <c r="D50" i="29"/>
  <c r="D40" i="29"/>
  <c r="I149" i="29"/>
  <c r="I141" i="29"/>
  <c r="I109" i="31"/>
  <c r="I117" i="31"/>
  <c r="C117" i="31"/>
  <c r="C109" i="31"/>
  <c r="C122" i="31"/>
  <c r="C38" i="31"/>
  <c r="E118" i="29"/>
  <c r="E110" i="29"/>
  <c r="E150" i="29"/>
  <c r="E142" i="29"/>
  <c r="N77" i="29"/>
  <c r="N85" i="29"/>
  <c r="H149" i="29"/>
  <c r="H141" i="29"/>
  <c r="N109" i="31"/>
  <c r="N117" i="31"/>
  <c r="J34" i="29"/>
  <c r="J26" i="29"/>
  <c r="J110" i="31"/>
  <c r="J118" i="31"/>
  <c r="D86" i="31"/>
  <c r="D78" i="31"/>
  <c r="G149" i="29"/>
  <c r="G141" i="29"/>
  <c r="I86" i="29"/>
  <c r="I78" i="29"/>
  <c r="I78" i="31"/>
  <c r="I86" i="31"/>
  <c r="C78" i="29"/>
  <c r="C86" i="29"/>
  <c r="L149" i="29"/>
  <c r="L141" i="29"/>
  <c r="N26" i="29"/>
  <c r="N34" i="29"/>
  <c r="N26" i="31"/>
  <c r="N23" i="31" s="1"/>
  <c r="N34" i="31"/>
  <c r="N86" i="31"/>
  <c r="N78" i="31"/>
  <c r="H34" i="31"/>
  <c r="H26" i="31"/>
  <c r="H23" i="31" s="1"/>
  <c r="H110" i="29"/>
  <c r="H118" i="29"/>
  <c r="K149" i="29"/>
  <c r="K141" i="29"/>
  <c r="M26" i="29"/>
  <c r="M34" i="29"/>
  <c r="M110" i="29"/>
  <c r="M118" i="29"/>
  <c r="G78" i="29"/>
  <c r="G86" i="29"/>
  <c r="G34" i="31"/>
  <c r="G26" i="31"/>
  <c r="G23" i="31" s="1"/>
  <c r="J109" i="29"/>
  <c r="J117" i="29"/>
  <c r="D141" i="29"/>
  <c r="D149" i="29"/>
  <c r="J109" i="31"/>
  <c r="J117" i="31"/>
  <c r="D117" i="31"/>
  <c r="D109" i="31"/>
  <c r="F23" i="22"/>
  <c r="F13" i="22"/>
  <c r="J140" i="22"/>
  <c r="J148" i="22"/>
  <c r="F65" i="22"/>
  <c r="F140" i="22"/>
  <c r="F139" i="22" s="1"/>
  <c r="F148" i="22"/>
  <c r="F147" i="22" s="1"/>
  <c r="F31" i="22"/>
  <c r="F40" i="20"/>
  <c r="F147" i="20"/>
  <c r="K77" i="22"/>
  <c r="K85" i="22"/>
  <c r="J150" i="22"/>
  <c r="J40" i="22"/>
  <c r="J40" i="20"/>
  <c r="J50" i="22"/>
  <c r="H50" i="20"/>
  <c r="H50" i="22"/>
  <c r="H40" i="22"/>
  <c r="H150" i="22"/>
  <c r="H147" i="22" s="1"/>
  <c r="H40" i="20"/>
  <c r="E50" i="22"/>
  <c r="E40" i="20"/>
  <c r="E40" i="22"/>
  <c r="E150" i="22"/>
  <c r="E147" i="22" s="1"/>
  <c r="E50" i="20"/>
  <c r="G50" i="20"/>
  <c r="G50" i="22"/>
  <c r="G40" i="22"/>
  <c r="G40" i="20"/>
  <c r="L73" i="1"/>
  <c r="L61" i="1" s="1"/>
  <c r="F77" i="22"/>
  <c r="F78" i="22"/>
  <c r="F85" i="22"/>
  <c r="F83" i="22" s="1"/>
  <c r="F129" i="22"/>
  <c r="D40" i="22"/>
  <c r="D50" i="20"/>
  <c r="D150" i="22"/>
  <c r="D147" i="22" s="1"/>
  <c r="D50" i="22"/>
  <c r="D40" i="20"/>
  <c r="M50" i="20"/>
  <c r="M97" i="22"/>
  <c r="M50" i="22"/>
  <c r="M40" i="22"/>
  <c r="M40" i="20"/>
  <c r="M109" i="22"/>
  <c r="M117" i="22"/>
  <c r="I50" i="22"/>
  <c r="I150" i="22"/>
  <c r="I147" i="22" s="1"/>
  <c r="I40" i="22"/>
  <c r="I50" i="20"/>
  <c r="I40" i="20"/>
  <c r="D73" i="1"/>
  <c r="D29" i="1" s="1"/>
  <c r="C150" i="22"/>
  <c r="C147" i="22" s="1"/>
  <c r="C50" i="22"/>
  <c r="C40" i="22"/>
  <c r="L50" i="20"/>
  <c r="L40" i="20"/>
  <c r="L150" i="22"/>
  <c r="L147" i="22" s="1"/>
  <c r="L50" i="22"/>
  <c r="L40" i="22"/>
  <c r="K50" i="22"/>
  <c r="K150" i="22"/>
  <c r="K147" i="22" s="1"/>
  <c r="K65" i="22"/>
  <c r="K40" i="20"/>
  <c r="K40" i="22"/>
  <c r="N50" i="20"/>
  <c r="N150" i="22"/>
  <c r="N147" i="22" s="1"/>
  <c r="N40" i="20"/>
  <c r="N50" i="22"/>
  <c r="N40" i="22"/>
  <c r="C77" i="22"/>
  <c r="C108" i="22"/>
  <c r="I108" i="22"/>
  <c r="F66" i="21"/>
  <c r="N73" i="1"/>
  <c r="F73" i="1"/>
  <c r="F45" i="1" s="1"/>
  <c r="F44" i="1" s="1"/>
  <c r="H73" i="1"/>
  <c r="H45" i="1" s="1"/>
  <c r="G23" i="21"/>
  <c r="J45" i="21"/>
  <c r="I47" i="21"/>
  <c r="I44" i="21" s="1"/>
  <c r="I25" i="21"/>
  <c r="I110" i="20"/>
  <c r="I91" i="21"/>
  <c r="I88" i="21" s="1"/>
  <c r="I79" i="19"/>
  <c r="I25" i="19"/>
  <c r="I47" i="19"/>
  <c r="I34" i="20"/>
  <c r="H147" i="20"/>
  <c r="H91" i="19"/>
  <c r="H13" i="19"/>
  <c r="H86" i="20"/>
  <c r="H57" i="19"/>
  <c r="H34" i="20"/>
  <c r="K97" i="20"/>
  <c r="K13" i="22"/>
  <c r="K47" i="21"/>
  <c r="K78" i="20"/>
  <c r="K47" i="19"/>
  <c r="K26" i="20"/>
  <c r="K69" i="19"/>
  <c r="K79" i="19"/>
  <c r="K25" i="19"/>
  <c r="E45" i="21"/>
  <c r="K45" i="21"/>
  <c r="F57" i="21"/>
  <c r="J86" i="20"/>
  <c r="J47" i="21"/>
  <c r="J91" i="19"/>
  <c r="J25" i="19"/>
  <c r="J26" i="20"/>
  <c r="J57" i="19"/>
  <c r="C47" i="21"/>
  <c r="C44" i="21" s="1"/>
  <c r="C69" i="21"/>
  <c r="C66" i="21" s="1"/>
  <c r="C13" i="22"/>
  <c r="C69" i="19"/>
  <c r="C147" i="20"/>
  <c r="C110" i="20"/>
  <c r="C50" i="20"/>
  <c r="C26" i="20"/>
  <c r="C65" i="20"/>
  <c r="C35" i="19"/>
  <c r="I73" i="1"/>
  <c r="G61" i="1"/>
  <c r="G45" i="1"/>
  <c r="G29" i="1"/>
  <c r="G13" i="1"/>
  <c r="E110" i="20"/>
  <c r="E13" i="22"/>
  <c r="E47" i="21"/>
  <c r="E147" i="20"/>
  <c r="E78" i="20"/>
  <c r="E13" i="20"/>
  <c r="E91" i="19"/>
  <c r="E61" i="1"/>
  <c r="E60" i="1" s="1"/>
  <c r="E45" i="1"/>
  <c r="E29" i="1"/>
  <c r="E13" i="1"/>
  <c r="I23" i="21"/>
  <c r="D25" i="21"/>
  <c r="D110" i="20"/>
  <c r="D13" i="22"/>
  <c r="D91" i="21"/>
  <c r="D86" i="20"/>
  <c r="D47" i="19"/>
  <c r="D147" i="20"/>
  <c r="D34" i="20"/>
  <c r="D13" i="19"/>
  <c r="D91" i="19"/>
  <c r="N61" i="1"/>
  <c r="N45" i="1"/>
  <c r="N29" i="1"/>
  <c r="N13" i="1"/>
  <c r="J73" i="1"/>
  <c r="D24" i="21"/>
  <c r="D90" i="21"/>
  <c r="C73" i="1"/>
  <c r="K73" i="1"/>
  <c r="N47" i="21"/>
  <c r="N44" i="21" s="1"/>
  <c r="N147" i="20"/>
  <c r="N91" i="19"/>
  <c r="N118" i="20"/>
  <c r="N34" i="20"/>
  <c r="N69" i="19"/>
  <c r="N47" i="19"/>
  <c r="N86" i="20"/>
  <c r="G69" i="21"/>
  <c r="G66" i="21" s="1"/>
  <c r="G47" i="21"/>
  <c r="G44" i="21" s="1"/>
  <c r="G147" i="20"/>
  <c r="G25" i="21"/>
  <c r="G13" i="20"/>
  <c r="G13" i="22"/>
  <c r="G69" i="19"/>
  <c r="G25" i="19"/>
  <c r="G65" i="20"/>
  <c r="M91" i="21"/>
  <c r="M88" i="21" s="1"/>
  <c r="M147" i="20"/>
  <c r="M118" i="20"/>
  <c r="M34" i="20"/>
  <c r="M69" i="19"/>
  <c r="M13" i="19"/>
  <c r="M47" i="19"/>
  <c r="M65" i="20"/>
  <c r="L147" i="20"/>
  <c r="L86" i="20"/>
  <c r="L35" i="19"/>
  <c r="L34" i="20"/>
  <c r="L69" i="19"/>
  <c r="L110" i="20"/>
  <c r="L13" i="19"/>
  <c r="K50" i="20"/>
  <c r="J50" i="20"/>
  <c r="F50" i="20"/>
  <c r="C40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J34" i="20"/>
  <c r="F34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I86" i="20"/>
  <c r="F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J118" i="20"/>
  <c r="H118" i="20"/>
  <c r="G118" i="20"/>
  <c r="F118" i="20"/>
  <c r="N117" i="20"/>
  <c r="M117" i="20"/>
  <c r="L117" i="20"/>
  <c r="K117" i="20"/>
  <c r="J117" i="20"/>
  <c r="I117" i="20"/>
  <c r="H117" i="20"/>
  <c r="G117" i="20"/>
  <c r="F117" i="20"/>
  <c r="E117" i="20"/>
  <c r="D117" i="20"/>
  <c r="N116" i="20"/>
  <c r="M116" i="20"/>
  <c r="L116" i="20"/>
  <c r="K116" i="20"/>
  <c r="J116" i="20"/>
  <c r="I116" i="20"/>
  <c r="H116" i="20"/>
  <c r="G116" i="20"/>
  <c r="F116" i="20"/>
  <c r="E116" i="20"/>
  <c r="D116" i="20"/>
  <c r="C117" i="20"/>
  <c r="C116" i="20"/>
  <c r="L26" i="20"/>
  <c r="F26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L13" i="20"/>
  <c r="K13" i="20"/>
  <c r="J13" i="20"/>
  <c r="F13" i="20"/>
  <c r="I78" i="20"/>
  <c r="F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J65" i="20"/>
  <c r="I65" i="20"/>
  <c r="F65" i="20"/>
  <c r="J110" i="20"/>
  <c r="H110" i="20"/>
  <c r="G110" i="20"/>
  <c r="F110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J97" i="20"/>
  <c r="H97" i="20"/>
  <c r="G97" i="20"/>
  <c r="F97" i="20"/>
  <c r="M142" i="20"/>
  <c r="H142" i="20"/>
  <c r="F142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M129" i="20"/>
  <c r="K129" i="20"/>
  <c r="H129" i="20"/>
  <c r="F129" i="20"/>
  <c r="N94" i="17"/>
  <c r="N92" i="17" s="1"/>
  <c r="M94" i="17"/>
  <c r="M92" i="17" s="1"/>
  <c r="L94" i="17"/>
  <c r="L92" i="17" s="1"/>
  <c r="K94" i="17"/>
  <c r="K92" i="17" s="1"/>
  <c r="J94" i="17"/>
  <c r="J92" i="17" s="1"/>
  <c r="I94" i="17"/>
  <c r="I92" i="17" s="1"/>
  <c r="H94" i="17"/>
  <c r="H92" i="17" s="1"/>
  <c r="G94" i="17"/>
  <c r="G92" i="17" s="1"/>
  <c r="F94" i="17"/>
  <c r="F92" i="17" s="1"/>
  <c r="E94" i="17"/>
  <c r="E92" i="17" s="1"/>
  <c r="D94" i="17"/>
  <c r="D92" i="17" s="1"/>
  <c r="C94" i="17"/>
  <c r="C92" i="17" s="1"/>
  <c r="N72" i="17"/>
  <c r="N70" i="17" s="1"/>
  <c r="M72" i="17"/>
  <c r="M70" i="17" s="1"/>
  <c r="L72" i="17"/>
  <c r="L70" i="17" s="1"/>
  <c r="K72" i="17"/>
  <c r="K70" i="17" s="1"/>
  <c r="J72" i="17"/>
  <c r="J70" i="17" s="1"/>
  <c r="I72" i="17"/>
  <c r="I70" i="17" s="1"/>
  <c r="H72" i="17"/>
  <c r="H70" i="17" s="1"/>
  <c r="G72" i="17"/>
  <c r="G70" i="17" s="1"/>
  <c r="F72" i="17"/>
  <c r="F70" i="17" s="1"/>
  <c r="E72" i="17"/>
  <c r="E70" i="17" s="1"/>
  <c r="D72" i="17"/>
  <c r="D70" i="17" s="1"/>
  <c r="C72" i="17"/>
  <c r="C70" i="17" s="1"/>
  <c r="N50" i="17"/>
  <c r="N48" i="17" s="1"/>
  <c r="M50" i="17"/>
  <c r="M48" i="17" s="1"/>
  <c r="L50" i="17"/>
  <c r="L48" i="17" s="1"/>
  <c r="K50" i="17"/>
  <c r="K48" i="17" s="1"/>
  <c r="J50" i="17"/>
  <c r="J48" i="17" s="1"/>
  <c r="I50" i="17"/>
  <c r="I48" i="17" s="1"/>
  <c r="H50" i="17"/>
  <c r="H48" i="17" s="1"/>
  <c r="G50" i="17"/>
  <c r="G48" i="17" s="1"/>
  <c r="F50" i="17"/>
  <c r="F48" i="17" s="1"/>
  <c r="E50" i="17"/>
  <c r="E48" i="17" s="1"/>
  <c r="D50" i="17"/>
  <c r="D48" i="17" s="1"/>
  <c r="C50" i="17"/>
  <c r="C48" i="17" s="1"/>
  <c r="M91" i="19"/>
  <c r="L91" i="19"/>
  <c r="G91" i="19"/>
  <c r="F91" i="19"/>
  <c r="C91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M79" i="19"/>
  <c r="L79" i="19"/>
  <c r="G79" i="19"/>
  <c r="F79" i="19"/>
  <c r="C79" i="19"/>
  <c r="I69" i="19"/>
  <c r="F69" i="19"/>
  <c r="E69" i="19"/>
  <c r="D69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I57" i="19"/>
  <c r="F57" i="19"/>
  <c r="E57" i="19"/>
  <c r="D57" i="19"/>
  <c r="J47" i="19"/>
  <c r="H47" i="19"/>
  <c r="G47" i="19"/>
  <c r="F47" i="19"/>
  <c r="E47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J35" i="19"/>
  <c r="H35" i="19"/>
  <c r="G35" i="19"/>
  <c r="F35" i="19"/>
  <c r="E35" i="19"/>
  <c r="N25" i="19"/>
  <c r="F25" i="19"/>
  <c r="E25" i="19"/>
  <c r="C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N13" i="19"/>
  <c r="F13" i="19"/>
  <c r="E13" i="19"/>
  <c r="C13" i="19"/>
  <c r="N28" i="17"/>
  <c r="N26" i="17" s="1"/>
  <c r="M28" i="17"/>
  <c r="M26" i="17" s="1"/>
  <c r="L28" i="17"/>
  <c r="L26" i="17" s="1"/>
  <c r="K28" i="17"/>
  <c r="K26" i="17" s="1"/>
  <c r="J28" i="17"/>
  <c r="J26" i="17" s="1"/>
  <c r="I28" i="17"/>
  <c r="I26" i="17" s="1"/>
  <c r="H28" i="17"/>
  <c r="H26" i="17" s="1"/>
  <c r="G28" i="17"/>
  <c r="G26" i="17" s="1"/>
  <c r="F28" i="17"/>
  <c r="F26" i="17" s="1"/>
  <c r="E28" i="17"/>
  <c r="E26" i="17" s="1"/>
  <c r="D28" i="17"/>
  <c r="D26" i="17" s="1"/>
  <c r="C28" i="17"/>
  <c r="C26" i="17" s="1"/>
  <c r="C129" i="20" l="1"/>
  <c r="M13" i="1"/>
  <c r="J31" i="31"/>
  <c r="G13" i="19"/>
  <c r="M29" i="1"/>
  <c r="M28" i="1" s="1"/>
  <c r="M45" i="1"/>
  <c r="M44" i="1" s="1"/>
  <c r="F29" i="1"/>
  <c r="F28" i="1" s="1"/>
  <c r="I35" i="19"/>
  <c r="F61" i="1"/>
  <c r="F60" i="1" s="1"/>
  <c r="F13" i="1"/>
  <c r="F12" i="1" s="1"/>
  <c r="C88" i="19"/>
  <c r="J69" i="19"/>
  <c r="F83" i="20"/>
  <c r="H25" i="19"/>
  <c r="I91" i="19"/>
  <c r="C142" i="20"/>
  <c r="C139" i="20" s="1"/>
  <c r="N12" i="1"/>
  <c r="E12" i="1"/>
  <c r="E44" i="1"/>
  <c r="M44" i="19"/>
  <c r="L57" i="19"/>
  <c r="K110" i="20"/>
  <c r="J78" i="20"/>
  <c r="J75" i="20" s="1"/>
  <c r="K34" i="20"/>
  <c r="K31" i="20" s="1"/>
  <c r="M35" i="19"/>
  <c r="G142" i="20"/>
  <c r="I22" i="21"/>
  <c r="F23" i="20"/>
  <c r="E28" i="1"/>
  <c r="I23" i="31"/>
  <c r="F66" i="19"/>
  <c r="N44" i="1"/>
  <c r="L60" i="1"/>
  <c r="F44" i="19"/>
  <c r="N60" i="1"/>
  <c r="G12" i="1"/>
  <c r="M12" i="1"/>
  <c r="H44" i="1"/>
  <c r="D28" i="1"/>
  <c r="G28" i="1"/>
  <c r="G44" i="1"/>
  <c r="G60" i="1"/>
  <c r="M60" i="1"/>
  <c r="N28" i="1"/>
  <c r="M86" i="20"/>
  <c r="E26" i="20"/>
  <c r="E23" i="20" s="1"/>
  <c r="I97" i="20"/>
  <c r="I118" i="20"/>
  <c r="I115" i="20" s="1"/>
  <c r="C78" i="20"/>
  <c r="M78" i="20"/>
  <c r="M75" i="20" s="1"/>
  <c r="N78" i="20"/>
  <c r="M13" i="20"/>
  <c r="N65" i="20"/>
  <c r="D13" i="20"/>
  <c r="D26" i="20"/>
  <c r="D23" i="20" s="1"/>
  <c r="M26" i="20"/>
  <c r="M23" i="20" s="1"/>
  <c r="H139" i="20"/>
  <c r="D129" i="20"/>
  <c r="C86" i="20"/>
  <c r="C83" i="20" s="1"/>
  <c r="E34" i="20"/>
  <c r="E31" i="20" s="1"/>
  <c r="K118" i="20"/>
  <c r="K115" i="20" s="1"/>
  <c r="E129" i="20"/>
  <c r="E142" i="20"/>
  <c r="E139" i="20" s="1"/>
  <c r="G139" i="20"/>
  <c r="K86" i="20"/>
  <c r="K83" i="20" s="1"/>
  <c r="D118" i="20"/>
  <c r="D115" i="20" s="1"/>
  <c r="N142" i="20"/>
  <c r="N139" i="20" s="1"/>
  <c r="M97" i="20"/>
  <c r="M110" i="20"/>
  <c r="L129" i="20"/>
  <c r="N13" i="20"/>
  <c r="N129" i="20"/>
  <c r="L142" i="20"/>
  <c r="L139" i="20" s="1"/>
  <c r="D142" i="20"/>
  <c r="D139" i="20" s="1"/>
  <c r="C57" i="19"/>
  <c r="E79" i="19"/>
  <c r="K57" i="19"/>
  <c r="H69" i="19"/>
  <c r="H66" i="19" s="1"/>
  <c r="K66" i="19"/>
  <c r="I13" i="19"/>
  <c r="K13" i="19"/>
  <c r="C66" i="19"/>
  <c r="E22" i="19"/>
  <c r="I66" i="19"/>
  <c r="G88" i="19"/>
  <c r="N66" i="19"/>
  <c r="M25" i="19"/>
  <c r="M22" i="19" s="1"/>
  <c r="G57" i="19"/>
  <c r="N57" i="19"/>
  <c r="J44" i="19"/>
  <c r="D61" i="1"/>
  <c r="D60" i="1" s="1"/>
  <c r="D13" i="1"/>
  <c r="D12" i="1" s="1"/>
  <c r="D45" i="1"/>
  <c r="D44" i="1" s="1"/>
  <c r="F22" i="19"/>
  <c r="N22" i="19"/>
  <c r="J22" i="19"/>
  <c r="D25" i="19"/>
  <c r="D22" i="19" s="1"/>
  <c r="L47" i="19"/>
  <c r="L44" i="19" s="1"/>
  <c r="M66" i="19"/>
  <c r="E86" i="20"/>
  <c r="E83" i="20" s="1"/>
  <c r="C34" i="20"/>
  <c r="C31" i="20" s="1"/>
  <c r="H61" i="1"/>
  <c r="H60" i="1" s="1"/>
  <c r="H78" i="20"/>
  <c r="H75" i="20" s="1"/>
  <c r="L29" i="1"/>
  <c r="L28" i="1" s="1"/>
  <c r="J23" i="31"/>
  <c r="E31" i="31"/>
  <c r="K35" i="19"/>
  <c r="H13" i="1"/>
  <c r="H12" i="1" s="1"/>
  <c r="H29" i="1"/>
  <c r="H28" i="1" s="1"/>
  <c r="J13" i="19"/>
  <c r="M57" i="19"/>
  <c r="H79" i="19"/>
  <c r="D65" i="20"/>
  <c r="D78" i="20"/>
  <c r="D75" i="20" s="1"/>
  <c r="D83" i="20"/>
  <c r="G31" i="31"/>
  <c r="C23" i="31"/>
  <c r="N26" i="20"/>
  <c r="N23" i="20" s="1"/>
  <c r="L45" i="1"/>
  <c r="L44" i="1" s="1"/>
  <c r="F73" i="25"/>
  <c r="F61" i="25" s="1"/>
  <c r="F60" i="25" s="1"/>
  <c r="I35" i="21"/>
  <c r="M88" i="19"/>
  <c r="L13" i="1"/>
  <c r="L12" i="1" s="1"/>
  <c r="L23" i="20"/>
  <c r="F75" i="20"/>
  <c r="M23" i="31"/>
  <c r="C31" i="31"/>
  <c r="F75" i="22"/>
  <c r="E65" i="20"/>
  <c r="H13" i="20"/>
  <c r="H26" i="20"/>
  <c r="H23" i="20" s="1"/>
  <c r="G129" i="20"/>
  <c r="E75" i="20"/>
  <c r="I13" i="20"/>
  <c r="I26" i="20"/>
  <c r="I23" i="20" s="1"/>
  <c r="C13" i="20"/>
  <c r="C23" i="20"/>
  <c r="D35" i="26"/>
  <c r="D45" i="26"/>
  <c r="D44" i="26" s="1"/>
  <c r="D23" i="28"/>
  <c r="D22" i="28" s="1"/>
  <c r="D13" i="28"/>
  <c r="D116" i="29"/>
  <c r="D115" i="29" s="1"/>
  <c r="D108" i="29"/>
  <c r="D107" i="29" s="1"/>
  <c r="D97" i="29"/>
  <c r="L26" i="31"/>
  <c r="L23" i="31" s="1"/>
  <c r="L34" i="31"/>
  <c r="L118" i="31"/>
  <c r="L110" i="31"/>
  <c r="H89" i="26"/>
  <c r="H88" i="26" s="1"/>
  <c r="H79" i="26"/>
  <c r="H45" i="28"/>
  <c r="H44" i="28" s="1"/>
  <c r="H35" i="28"/>
  <c r="H84" i="29"/>
  <c r="H83" i="29" s="1"/>
  <c r="H65" i="29"/>
  <c r="H76" i="29"/>
  <c r="H75" i="29" s="1"/>
  <c r="H79" i="30"/>
  <c r="H89" i="30"/>
  <c r="H88" i="30" s="1"/>
  <c r="H65" i="31"/>
  <c r="H84" i="31"/>
  <c r="H83" i="31" s="1"/>
  <c r="H76" i="31"/>
  <c r="H75" i="31" s="1"/>
  <c r="N73" i="25"/>
  <c r="N36" i="27"/>
  <c r="N47" i="27"/>
  <c r="N46" i="27" s="1"/>
  <c r="N79" i="28"/>
  <c r="N89" i="28"/>
  <c r="N88" i="28" s="1"/>
  <c r="N147" i="31"/>
  <c r="N129" i="31"/>
  <c r="D31" i="31"/>
  <c r="G23" i="26"/>
  <c r="G22" i="26" s="1"/>
  <c r="G13" i="26"/>
  <c r="G23" i="28"/>
  <c r="G22" i="28" s="1"/>
  <c r="G13" i="28"/>
  <c r="G116" i="29"/>
  <c r="G97" i="29"/>
  <c r="G108" i="29"/>
  <c r="G107" i="29" s="1"/>
  <c r="G76" i="31"/>
  <c r="G75" i="31" s="1"/>
  <c r="G84" i="31"/>
  <c r="G83" i="31" s="1"/>
  <c r="G65" i="31"/>
  <c r="C23" i="26"/>
  <c r="C22" i="26" s="1"/>
  <c r="C13" i="26"/>
  <c r="C59" i="27"/>
  <c r="C70" i="27"/>
  <c r="C69" i="27" s="1"/>
  <c r="C84" i="31"/>
  <c r="C83" i="31" s="1"/>
  <c r="C65" i="31"/>
  <c r="C76" i="31"/>
  <c r="C75" i="31" s="1"/>
  <c r="C76" i="29"/>
  <c r="C75" i="29" s="1"/>
  <c r="C84" i="29"/>
  <c r="C83" i="29" s="1"/>
  <c r="C65" i="29"/>
  <c r="M23" i="26"/>
  <c r="M22" i="26" s="1"/>
  <c r="M13" i="26"/>
  <c r="M93" i="27"/>
  <c r="M92" i="27" s="1"/>
  <c r="M82" i="27"/>
  <c r="M23" i="30"/>
  <c r="M22" i="30" s="1"/>
  <c r="M13" i="30"/>
  <c r="E73" i="25"/>
  <c r="E47" i="27"/>
  <c r="E46" i="27" s="1"/>
  <c r="E36" i="27"/>
  <c r="E97" i="29"/>
  <c r="E116" i="29"/>
  <c r="E115" i="29" s="1"/>
  <c r="E108" i="29"/>
  <c r="E107" i="29" s="1"/>
  <c r="E35" i="30"/>
  <c r="E45" i="30"/>
  <c r="E44" i="30" s="1"/>
  <c r="E23" i="31"/>
  <c r="F26" i="29"/>
  <c r="F34" i="29"/>
  <c r="F24" i="27"/>
  <c r="F23" i="27" s="1"/>
  <c r="F13" i="27"/>
  <c r="F70" i="27"/>
  <c r="F69" i="27" s="1"/>
  <c r="F59" i="27"/>
  <c r="F116" i="29"/>
  <c r="F97" i="29"/>
  <c r="F108" i="29"/>
  <c r="F67" i="30"/>
  <c r="F66" i="30" s="1"/>
  <c r="F57" i="30"/>
  <c r="F50" i="31"/>
  <c r="L89" i="26"/>
  <c r="L88" i="26" s="1"/>
  <c r="L79" i="26"/>
  <c r="L97" i="29"/>
  <c r="L108" i="29"/>
  <c r="L116" i="29"/>
  <c r="L45" i="28"/>
  <c r="L44" i="28" s="1"/>
  <c r="L35" i="28"/>
  <c r="L116" i="31"/>
  <c r="L97" i="31"/>
  <c r="L108" i="31"/>
  <c r="L40" i="31"/>
  <c r="J24" i="29"/>
  <c r="J23" i="29" s="1"/>
  <c r="J32" i="29"/>
  <c r="J31" i="29" s="1"/>
  <c r="J13" i="29"/>
  <c r="J70" i="27"/>
  <c r="J69" i="27" s="1"/>
  <c r="J59" i="27"/>
  <c r="J35" i="30"/>
  <c r="J45" i="30"/>
  <c r="J44" i="30" s="1"/>
  <c r="J108" i="31"/>
  <c r="J107" i="31" s="1"/>
  <c r="J116" i="31"/>
  <c r="J115" i="31" s="1"/>
  <c r="J97" i="31"/>
  <c r="K73" i="25"/>
  <c r="K45" i="26"/>
  <c r="K44" i="26" s="1"/>
  <c r="K35" i="26"/>
  <c r="K93" i="27"/>
  <c r="K92" i="27" s="1"/>
  <c r="K82" i="27"/>
  <c r="K116" i="29"/>
  <c r="K115" i="29" s="1"/>
  <c r="K108" i="29"/>
  <c r="K107" i="29" s="1"/>
  <c r="K97" i="29"/>
  <c r="K23" i="30"/>
  <c r="K22" i="30" s="1"/>
  <c r="K13" i="30"/>
  <c r="I35" i="26"/>
  <c r="I45" i="26"/>
  <c r="I44" i="26" s="1"/>
  <c r="I79" i="26"/>
  <c r="I89" i="26"/>
  <c r="I88" i="26" s="1"/>
  <c r="I89" i="28"/>
  <c r="I88" i="28" s="1"/>
  <c r="I79" i="28"/>
  <c r="I79" i="30"/>
  <c r="I89" i="30"/>
  <c r="I88" i="30" s="1"/>
  <c r="I147" i="31"/>
  <c r="I129" i="31"/>
  <c r="F31" i="20"/>
  <c r="D24" i="27"/>
  <c r="D23" i="27" s="1"/>
  <c r="D13" i="27"/>
  <c r="D35" i="28"/>
  <c r="D45" i="28"/>
  <c r="D44" i="28" s="1"/>
  <c r="D13" i="30"/>
  <c r="D23" i="30"/>
  <c r="D22" i="30" s="1"/>
  <c r="D79" i="30"/>
  <c r="D89" i="30"/>
  <c r="D88" i="30" s="1"/>
  <c r="H24" i="27"/>
  <c r="H23" i="27" s="1"/>
  <c r="H13" i="27"/>
  <c r="H57" i="28"/>
  <c r="H67" i="28"/>
  <c r="H66" i="28" s="1"/>
  <c r="H23" i="30"/>
  <c r="H22" i="30" s="1"/>
  <c r="H13" i="30"/>
  <c r="H67" i="30"/>
  <c r="H66" i="30" s="1"/>
  <c r="H57" i="30"/>
  <c r="H97" i="31"/>
  <c r="H116" i="31"/>
  <c r="H115" i="31" s="1"/>
  <c r="H108" i="31"/>
  <c r="H107" i="31" s="1"/>
  <c r="N23" i="26"/>
  <c r="N22" i="26" s="1"/>
  <c r="N13" i="26"/>
  <c r="N70" i="27"/>
  <c r="N69" i="27" s="1"/>
  <c r="N59" i="27"/>
  <c r="N24" i="29"/>
  <c r="N13" i="29"/>
  <c r="N32" i="29"/>
  <c r="N31" i="29" s="1"/>
  <c r="N84" i="29"/>
  <c r="N83" i="29" s="1"/>
  <c r="N65" i="29"/>
  <c r="N76" i="29"/>
  <c r="N75" i="29" s="1"/>
  <c r="N31" i="31"/>
  <c r="G35" i="26"/>
  <c r="G45" i="26"/>
  <c r="G44" i="26" s="1"/>
  <c r="G35" i="28"/>
  <c r="G45" i="28"/>
  <c r="G44" i="28" s="1"/>
  <c r="G76" i="29"/>
  <c r="G75" i="29" s="1"/>
  <c r="G65" i="29"/>
  <c r="G84" i="29"/>
  <c r="G83" i="29" s="1"/>
  <c r="G97" i="31"/>
  <c r="G108" i="31"/>
  <c r="G107" i="31" s="1"/>
  <c r="G116" i="31"/>
  <c r="G115" i="31" s="1"/>
  <c r="C35" i="26"/>
  <c r="C45" i="26"/>
  <c r="C44" i="26" s="1"/>
  <c r="C82" i="27"/>
  <c r="C93" i="27"/>
  <c r="C92" i="27" s="1"/>
  <c r="C89" i="26"/>
  <c r="C88" i="26" s="1"/>
  <c r="C79" i="26"/>
  <c r="C148" i="29"/>
  <c r="C147" i="29" s="1"/>
  <c r="C129" i="29"/>
  <c r="C140" i="29"/>
  <c r="C139" i="29" s="1"/>
  <c r="C97" i="31"/>
  <c r="C116" i="31"/>
  <c r="C115" i="31" s="1"/>
  <c r="C108" i="31"/>
  <c r="C107" i="31" s="1"/>
  <c r="M45" i="26"/>
  <c r="M44" i="26" s="1"/>
  <c r="M35" i="26"/>
  <c r="M23" i="28"/>
  <c r="M22" i="28" s="1"/>
  <c r="M13" i="28"/>
  <c r="M45" i="30"/>
  <c r="M44" i="30" s="1"/>
  <c r="M35" i="30"/>
  <c r="M79" i="30"/>
  <c r="M89" i="30"/>
  <c r="M88" i="30" s="1"/>
  <c r="E79" i="26"/>
  <c r="E89" i="26"/>
  <c r="E88" i="26" s="1"/>
  <c r="E59" i="27"/>
  <c r="E70" i="27"/>
  <c r="E69" i="27" s="1"/>
  <c r="E67" i="26"/>
  <c r="E66" i="26" s="1"/>
  <c r="E57" i="26"/>
  <c r="E65" i="29"/>
  <c r="E84" i="29"/>
  <c r="E83" i="29" s="1"/>
  <c r="E76" i="29"/>
  <c r="E75" i="29" s="1"/>
  <c r="F118" i="31"/>
  <c r="F110" i="31"/>
  <c r="F24" i="29"/>
  <c r="F32" i="29"/>
  <c r="F13" i="29"/>
  <c r="F82" i="27"/>
  <c r="F93" i="27"/>
  <c r="F92" i="27" s="1"/>
  <c r="F76" i="31"/>
  <c r="F84" i="31"/>
  <c r="F65" i="31"/>
  <c r="F147" i="31"/>
  <c r="F129" i="31"/>
  <c r="L24" i="27"/>
  <c r="L23" i="27" s="1"/>
  <c r="L13" i="27"/>
  <c r="L89" i="30"/>
  <c r="L88" i="30" s="1"/>
  <c r="L79" i="30"/>
  <c r="L57" i="28"/>
  <c r="L67" i="28"/>
  <c r="L66" i="28" s="1"/>
  <c r="L13" i="29"/>
  <c r="L32" i="29"/>
  <c r="L24" i="29"/>
  <c r="L50" i="31"/>
  <c r="L139" i="31"/>
  <c r="J67" i="26"/>
  <c r="J66" i="26" s="1"/>
  <c r="J57" i="26"/>
  <c r="J93" i="27"/>
  <c r="J92" i="27" s="1"/>
  <c r="J82" i="27"/>
  <c r="K79" i="26"/>
  <c r="K89" i="26"/>
  <c r="K88" i="26" s="1"/>
  <c r="K67" i="28"/>
  <c r="K66" i="28" s="1"/>
  <c r="K57" i="28"/>
  <c r="K23" i="28"/>
  <c r="K22" i="28" s="1"/>
  <c r="K13" i="28"/>
  <c r="K84" i="31"/>
  <c r="K83" i="31" s="1"/>
  <c r="K65" i="31"/>
  <c r="K76" i="31"/>
  <c r="K75" i="31" s="1"/>
  <c r="K45" i="30"/>
  <c r="K44" i="30" s="1"/>
  <c r="K35" i="30"/>
  <c r="I45" i="28"/>
  <c r="I44" i="28" s="1"/>
  <c r="I35" i="28"/>
  <c r="I24" i="27"/>
  <c r="I23" i="27" s="1"/>
  <c r="I13" i="27"/>
  <c r="I23" i="30"/>
  <c r="I22" i="30" s="1"/>
  <c r="I13" i="30"/>
  <c r="I97" i="31"/>
  <c r="I108" i="31"/>
  <c r="I107" i="31" s="1"/>
  <c r="I116" i="31"/>
  <c r="I115" i="31" s="1"/>
  <c r="J23" i="20"/>
  <c r="I83" i="20"/>
  <c r="M31" i="20"/>
  <c r="L66" i="19"/>
  <c r="D67" i="26"/>
  <c r="D66" i="26" s="1"/>
  <c r="D57" i="26"/>
  <c r="D57" i="28"/>
  <c r="D67" i="28"/>
  <c r="D66" i="28" s="1"/>
  <c r="D35" i="30"/>
  <c r="D45" i="30"/>
  <c r="D44" i="30" s="1"/>
  <c r="D65" i="31"/>
  <c r="D76" i="31"/>
  <c r="D84" i="31"/>
  <c r="D83" i="31" s="1"/>
  <c r="L34" i="29"/>
  <c r="L26" i="29"/>
  <c r="L86" i="31"/>
  <c r="L78" i="31"/>
  <c r="H73" i="25"/>
  <c r="H47" i="27"/>
  <c r="H46" i="27" s="1"/>
  <c r="H36" i="27"/>
  <c r="H79" i="28"/>
  <c r="H89" i="28"/>
  <c r="H88" i="28" s="1"/>
  <c r="H45" i="30"/>
  <c r="H44" i="30" s="1"/>
  <c r="H35" i="30"/>
  <c r="H147" i="31"/>
  <c r="H129" i="31"/>
  <c r="N35" i="26"/>
  <c r="N45" i="26"/>
  <c r="N44" i="26" s="1"/>
  <c r="N82" i="27"/>
  <c r="N93" i="27"/>
  <c r="N92" i="27" s="1"/>
  <c r="N13" i="30"/>
  <c r="N23" i="30"/>
  <c r="N22" i="30" s="1"/>
  <c r="N148" i="29"/>
  <c r="N147" i="29" s="1"/>
  <c r="N140" i="29"/>
  <c r="N139" i="29" s="1"/>
  <c r="N129" i="29"/>
  <c r="G13" i="27"/>
  <c r="G24" i="27"/>
  <c r="G23" i="27" s="1"/>
  <c r="G67" i="28"/>
  <c r="G66" i="28" s="1"/>
  <c r="G57" i="28"/>
  <c r="G148" i="29"/>
  <c r="G147" i="29" s="1"/>
  <c r="G129" i="29"/>
  <c r="G140" i="29"/>
  <c r="G139" i="29" s="1"/>
  <c r="G147" i="31"/>
  <c r="G129" i="31"/>
  <c r="C13" i="27"/>
  <c r="C24" i="27"/>
  <c r="C23" i="27" s="1"/>
  <c r="C13" i="28"/>
  <c r="C23" i="28"/>
  <c r="C22" i="28" s="1"/>
  <c r="C45" i="30"/>
  <c r="C44" i="30" s="1"/>
  <c r="C35" i="30"/>
  <c r="C13" i="30"/>
  <c r="C23" i="30"/>
  <c r="C22" i="30" s="1"/>
  <c r="M147" i="31"/>
  <c r="M129" i="31"/>
  <c r="M45" i="28"/>
  <c r="M44" i="28" s="1"/>
  <c r="M35" i="28"/>
  <c r="M65" i="29"/>
  <c r="M84" i="29"/>
  <c r="M83" i="29" s="1"/>
  <c r="M76" i="29"/>
  <c r="M75" i="29" s="1"/>
  <c r="M65" i="31"/>
  <c r="M84" i="31"/>
  <c r="M83" i="31" s="1"/>
  <c r="M76" i="31"/>
  <c r="M75" i="31" s="1"/>
  <c r="E57" i="28"/>
  <c r="E67" i="28"/>
  <c r="E66" i="28" s="1"/>
  <c r="E82" i="27"/>
  <c r="E93" i="27"/>
  <c r="E92" i="27" s="1"/>
  <c r="E35" i="28"/>
  <c r="E45" i="28"/>
  <c r="E44" i="28" s="1"/>
  <c r="E147" i="31"/>
  <c r="E129" i="31"/>
  <c r="E67" i="30"/>
  <c r="E66" i="30" s="1"/>
  <c r="E57" i="30"/>
  <c r="F34" i="31"/>
  <c r="F31" i="31" s="1"/>
  <c r="F26" i="31"/>
  <c r="F23" i="31" s="1"/>
  <c r="F67" i="26"/>
  <c r="F66" i="26" s="1"/>
  <c r="F57" i="26"/>
  <c r="F40" i="29"/>
  <c r="F23" i="28"/>
  <c r="F22" i="28" s="1"/>
  <c r="F13" i="28"/>
  <c r="F13" i="30"/>
  <c r="F23" i="30"/>
  <c r="F22" i="30" s="1"/>
  <c r="F40" i="31"/>
  <c r="L23" i="26"/>
  <c r="L22" i="26" s="1"/>
  <c r="L13" i="26"/>
  <c r="L36" i="27"/>
  <c r="L47" i="27"/>
  <c r="L46" i="27" s="1"/>
  <c r="L89" i="28"/>
  <c r="L88" i="28" s="1"/>
  <c r="L79" i="28"/>
  <c r="L23" i="30"/>
  <c r="L22" i="30" s="1"/>
  <c r="L13" i="30"/>
  <c r="L147" i="31"/>
  <c r="L129" i="31"/>
  <c r="J73" i="25"/>
  <c r="J89" i="26"/>
  <c r="J88" i="26" s="1"/>
  <c r="J79" i="26"/>
  <c r="J13" i="28"/>
  <c r="J23" i="28"/>
  <c r="J22" i="28" s="1"/>
  <c r="J76" i="29"/>
  <c r="J75" i="29" s="1"/>
  <c r="J65" i="29"/>
  <c r="J84" i="29"/>
  <c r="J83" i="29" s="1"/>
  <c r="K13" i="27"/>
  <c r="K24" i="27"/>
  <c r="K23" i="27" s="1"/>
  <c r="K65" i="29"/>
  <c r="K84" i="29"/>
  <c r="K83" i="29" s="1"/>
  <c r="K76" i="29"/>
  <c r="K75" i="29" s="1"/>
  <c r="K89" i="28"/>
  <c r="K88" i="28" s="1"/>
  <c r="K79" i="28"/>
  <c r="K79" i="30"/>
  <c r="K89" i="30"/>
  <c r="K88" i="30" s="1"/>
  <c r="K23" i="31"/>
  <c r="I45" i="30"/>
  <c r="I44" i="30" s="1"/>
  <c r="I35" i="30"/>
  <c r="I47" i="27"/>
  <c r="I46" i="27" s="1"/>
  <c r="I36" i="27"/>
  <c r="I32" i="29"/>
  <c r="I31" i="29" s="1"/>
  <c r="I13" i="29"/>
  <c r="I24" i="29"/>
  <c r="I23" i="29" s="1"/>
  <c r="I116" i="29"/>
  <c r="I115" i="29" s="1"/>
  <c r="I108" i="29"/>
  <c r="I107" i="29" s="1"/>
  <c r="I97" i="29"/>
  <c r="I75" i="20"/>
  <c r="J83" i="20"/>
  <c r="D73" i="25"/>
  <c r="D36" i="27"/>
  <c r="D47" i="27"/>
  <c r="D46" i="27" s="1"/>
  <c r="D79" i="28"/>
  <c r="D89" i="28"/>
  <c r="D88" i="28" s="1"/>
  <c r="D76" i="29"/>
  <c r="D75" i="29" s="1"/>
  <c r="D65" i="29"/>
  <c r="D84" i="29"/>
  <c r="D83" i="29" s="1"/>
  <c r="D67" i="30"/>
  <c r="D66" i="30" s="1"/>
  <c r="D57" i="30"/>
  <c r="L118" i="29"/>
  <c r="L110" i="29"/>
  <c r="L150" i="29"/>
  <c r="L142" i="29"/>
  <c r="H13" i="26"/>
  <c r="H23" i="26"/>
  <c r="H22" i="26" s="1"/>
  <c r="H70" i="27"/>
  <c r="H69" i="27" s="1"/>
  <c r="H59" i="27"/>
  <c r="H13" i="29"/>
  <c r="H32" i="29"/>
  <c r="H31" i="29" s="1"/>
  <c r="H24" i="29"/>
  <c r="H23" i="29" s="1"/>
  <c r="H148" i="29"/>
  <c r="H147" i="29" s="1"/>
  <c r="H140" i="29"/>
  <c r="H139" i="29" s="1"/>
  <c r="H129" i="29"/>
  <c r="H31" i="31"/>
  <c r="N67" i="26"/>
  <c r="N66" i="26" s="1"/>
  <c r="N57" i="26"/>
  <c r="N23" i="28"/>
  <c r="N22" i="28" s="1"/>
  <c r="N13" i="28"/>
  <c r="N89" i="30"/>
  <c r="N88" i="30" s="1"/>
  <c r="N79" i="30"/>
  <c r="G67" i="26"/>
  <c r="G66" i="26" s="1"/>
  <c r="G57" i="26"/>
  <c r="G36" i="27"/>
  <c r="G47" i="27"/>
  <c r="G46" i="27" s="1"/>
  <c r="G89" i="28"/>
  <c r="G88" i="28" s="1"/>
  <c r="G79" i="28"/>
  <c r="G67" i="30"/>
  <c r="G66" i="30" s="1"/>
  <c r="G57" i="30"/>
  <c r="G89" i="30"/>
  <c r="G88" i="30" s="1"/>
  <c r="G79" i="30"/>
  <c r="C67" i="28"/>
  <c r="C66" i="28" s="1"/>
  <c r="C57" i="28"/>
  <c r="C89" i="28"/>
  <c r="C88" i="28" s="1"/>
  <c r="C79" i="28"/>
  <c r="C67" i="30"/>
  <c r="C66" i="30" s="1"/>
  <c r="C57" i="30"/>
  <c r="C116" i="29"/>
  <c r="C115" i="29" s="1"/>
  <c r="C108" i="29"/>
  <c r="C97" i="29"/>
  <c r="M67" i="26"/>
  <c r="M66" i="26" s="1"/>
  <c r="M57" i="26"/>
  <c r="M13" i="27"/>
  <c r="M24" i="27"/>
  <c r="M23" i="27" s="1"/>
  <c r="M57" i="28"/>
  <c r="M67" i="28"/>
  <c r="M66" i="28" s="1"/>
  <c r="M148" i="29"/>
  <c r="M147" i="29" s="1"/>
  <c r="M140" i="29"/>
  <c r="M139" i="29" s="1"/>
  <c r="M129" i="29"/>
  <c r="M116" i="29"/>
  <c r="M115" i="29" s="1"/>
  <c r="M108" i="29"/>
  <c r="M107" i="29" s="1"/>
  <c r="M97" i="29"/>
  <c r="M108" i="31"/>
  <c r="M107" i="31" s="1"/>
  <c r="M116" i="31"/>
  <c r="M115" i="31" s="1"/>
  <c r="M97" i="31"/>
  <c r="E23" i="26"/>
  <c r="E22" i="26" s="1"/>
  <c r="E13" i="26"/>
  <c r="E23" i="28"/>
  <c r="E22" i="28" s="1"/>
  <c r="E13" i="28"/>
  <c r="E89" i="30"/>
  <c r="E88" i="30" s="1"/>
  <c r="E79" i="30"/>
  <c r="E148" i="29"/>
  <c r="E147" i="29" s="1"/>
  <c r="E129" i="29"/>
  <c r="E140" i="29"/>
  <c r="E139" i="29" s="1"/>
  <c r="F86" i="29"/>
  <c r="F78" i="29"/>
  <c r="F86" i="31"/>
  <c r="F78" i="31"/>
  <c r="F89" i="26"/>
  <c r="F88" i="26" s="1"/>
  <c r="F79" i="26"/>
  <c r="F50" i="29"/>
  <c r="F35" i="28"/>
  <c r="F45" i="28"/>
  <c r="F44" i="28" s="1"/>
  <c r="F35" i="30"/>
  <c r="F45" i="30"/>
  <c r="F44" i="30" s="1"/>
  <c r="F97" i="31"/>
  <c r="F116" i="31"/>
  <c r="F108" i="31"/>
  <c r="F139" i="31"/>
  <c r="L45" i="26"/>
  <c r="L44" i="26" s="1"/>
  <c r="L35" i="26"/>
  <c r="L70" i="27"/>
  <c r="L69" i="27" s="1"/>
  <c r="L59" i="27"/>
  <c r="L40" i="29"/>
  <c r="L45" i="30"/>
  <c r="L44" i="30" s="1"/>
  <c r="L35" i="30"/>
  <c r="L65" i="31"/>
  <c r="L84" i="31"/>
  <c r="L76" i="31"/>
  <c r="L75" i="31" s="1"/>
  <c r="J24" i="27"/>
  <c r="J23" i="27" s="1"/>
  <c r="J13" i="27"/>
  <c r="J35" i="28"/>
  <c r="J45" i="28"/>
  <c r="J44" i="28" s="1"/>
  <c r="J67" i="30"/>
  <c r="J66" i="30" s="1"/>
  <c r="J57" i="30"/>
  <c r="J84" i="31"/>
  <c r="J83" i="31" s="1"/>
  <c r="J65" i="31"/>
  <c r="J76" i="31"/>
  <c r="J75" i="31" s="1"/>
  <c r="K45" i="28"/>
  <c r="K44" i="28" s="1"/>
  <c r="K35" i="28"/>
  <c r="K67" i="26"/>
  <c r="K66" i="26" s="1"/>
  <c r="K57" i="26"/>
  <c r="K116" i="31"/>
  <c r="K115" i="31" s="1"/>
  <c r="K108" i="31"/>
  <c r="K107" i="31" s="1"/>
  <c r="K97" i="31"/>
  <c r="K57" i="30"/>
  <c r="K67" i="30"/>
  <c r="K66" i="30" s="1"/>
  <c r="I67" i="26"/>
  <c r="I66" i="26" s="1"/>
  <c r="I57" i="26"/>
  <c r="I70" i="27"/>
  <c r="I69" i="27" s="1"/>
  <c r="I59" i="27"/>
  <c r="I148" i="29"/>
  <c r="I147" i="29" s="1"/>
  <c r="I140" i="29"/>
  <c r="I139" i="29" s="1"/>
  <c r="I129" i="29"/>
  <c r="D89" i="26"/>
  <c r="D88" i="26" s="1"/>
  <c r="D79" i="26"/>
  <c r="D70" i="27"/>
  <c r="D69" i="27" s="1"/>
  <c r="D59" i="27"/>
  <c r="D24" i="29"/>
  <c r="D23" i="29" s="1"/>
  <c r="D32" i="29"/>
  <c r="D31" i="29" s="1"/>
  <c r="D13" i="29"/>
  <c r="D116" i="31"/>
  <c r="D115" i="31" s="1"/>
  <c r="D108" i="31"/>
  <c r="D107" i="31" s="1"/>
  <c r="D97" i="31"/>
  <c r="H35" i="26"/>
  <c r="H45" i="26"/>
  <c r="H44" i="26" s="1"/>
  <c r="H82" i="27"/>
  <c r="H93" i="27"/>
  <c r="H92" i="27" s="1"/>
  <c r="N89" i="26"/>
  <c r="N88" i="26" s="1"/>
  <c r="N79" i="26"/>
  <c r="N45" i="28"/>
  <c r="N44" i="28" s="1"/>
  <c r="N35" i="28"/>
  <c r="N45" i="30"/>
  <c r="N44" i="30" s="1"/>
  <c r="N35" i="30"/>
  <c r="N108" i="29"/>
  <c r="N107" i="29" s="1"/>
  <c r="N116" i="29"/>
  <c r="N115" i="29" s="1"/>
  <c r="N97" i="29"/>
  <c r="N65" i="31"/>
  <c r="N84" i="31"/>
  <c r="N83" i="31" s="1"/>
  <c r="N76" i="31"/>
  <c r="N75" i="31" s="1"/>
  <c r="G89" i="26"/>
  <c r="G88" i="26" s="1"/>
  <c r="G79" i="26"/>
  <c r="G70" i="27"/>
  <c r="G69" i="27" s="1"/>
  <c r="G59" i="27"/>
  <c r="G32" i="29"/>
  <c r="G31" i="29" s="1"/>
  <c r="G24" i="29"/>
  <c r="G23" i="29" s="1"/>
  <c r="G13" i="29"/>
  <c r="G23" i="30"/>
  <c r="G22" i="30" s="1"/>
  <c r="G13" i="30"/>
  <c r="C32" i="29"/>
  <c r="C31" i="29" s="1"/>
  <c r="C13" i="29"/>
  <c r="C24" i="29"/>
  <c r="C23" i="29" s="1"/>
  <c r="C67" i="26"/>
  <c r="C66" i="26" s="1"/>
  <c r="C57" i="26"/>
  <c r="C89" i="30"/>
  <c r="C88" i="30" s="1"/>
  <c r="C79" i="30"/>
  <c r="C147" i="31"/>
  <c r="C129" i="31"/>
  <c r="M79" i="26"/>
  <c r="M89" i="26"/>
  <c r="M88" i="26" s="1"/>
  <c r="M47" i="27"/>
  <c r="M46" i="27" s="1"/>
  <c r="M36" i="27"/>
  <c r="M79" i="28"/>
  <c r="M89" i="28"/>
  <c r="M88" i="28" s="1"/>
  <c r="M67" i="30"/>
  <c r="M66" i="30" s="1"/>
  <c r="M57" i="30"/>
  <c r="E45" i="26"/>
  <c r="E44" i="26" s="1"/>
  <c r="E35" i="26"/>
  <c r="E89" i="28"/>
  <c r="E88" i="28" s="1"/>
  <c r="E79" i="28"/>
  <c r="E32" i="29"/>
  <c r="E31" i="29" s="1"/>
  <c r="E13" i="29"/>
  <c r="E24" i="29"/>
  <c r="E23" i="29" s="1"/>
  <c r="E76" i="31"/>
  <c r="E75" i="31" s="1"/>
  <c r="E65" i="31"/>
  <c r="E84" i="31"/>
  <c r="E83" i="31" s="1"/>
  <c r="E116" i="31"/>
  <c r="E115" i="31" s="1"/>
  <c r="E108" i="31"/>
  <c r="E107" i="31" s="1"/>
  <c r="E97" i="31"/>
  <c r="F23" i="26"/>
  <c r="F22" i="26" s="1"/>
  <c r="F13" i="26"/>
  <c r="F84" i="29"/>
  <c r="F76" i="29"/>
  <c r="F65" i="29"/>
  <c r="F57" i="28"/>
  <c r="F67" i="28"/>
  <c r="F66" i="28" s="1"/>
  <c r="F79" i="30"/>
  <c r="F89" i="30"/>
  <c r="F88" i="30" s="1"/>
  <c r="F13" i="31"/>
  <c r="L67" i="30"/>
  <c r="L66" i="30" s="1"/>
  <c r="L57" i="30"/>
  <c r="L82" i="27"/>
  <c r="L93" i="27"/>
  <c r="L92" i="27" s="1"/>
  <c r="L50" i="29"/>
  <c r="L13" i="31"/>
  <c r="L31" i="31"/>
  <c r="G115" i="29"/>
  <c r="J13" i="26"/>
  <c r="J23" i="26"/>
  <c r="J22" i="26" s="1"/>
  <c r="J140" i="29"/>
  <c r="J139" i="29" s="1"/>
  <c r="J129" i="29"/>
  <c r="J148" i="29"/>
  <c r="J147" i="29" s="1"/>
  <c r="J67" i="28"/>
  <c r="J66" i="28" s="1"/>
  <c r="J57" i="28"/>
  <c r="J97" i="29"/>
  <c r="J116" i="29"/>
  <c r="J115" i="29" s="1"/>
  <c r="J108" i="29"/>
  <c r="J107" i="29" s="1"/>
  <c r="J89" i="30"/>
  <c r="J88" i="30" s="1"/>
  <c r="J79" i="30"/>
  <c r="K36" i="27"/>
  <c r="K47" i="27"/>
  <c r="K46" i="27" s="1"/>
  <c r="K31" i="31"/>
  <c r="K148" i="29"/>
  <c r="K147" i="29" s="1"/>
  <c r="K129" i="29"/>
  <c r="K140" i="29"/>
  <c r="K139" i="29" s="1"/>
  <c r="I73" i="25"/>
  <c r="I57" i="28"/>
  <c r="I67" i="28"/>
  <c r="I66" i="28" s="1"/>
  <c r="I82" i="27"/>
  <c r="I93" i="27"/>
  <c r="I92" i="27" s="1"/>
  <c r="I67" i="30"/>
  <c r="I66" i="30" s="1"/>
  <c r="I57" i="30"/>
  <c r="I76" i="31"/>
  <c r="I75" i="31" s="1"/>
  <c r="I65" i="31"/>
  <c r="I84" i="31"/>
  <c r="I83" i="31" s="1"/>
  <c r="H22" i="19"/>
  <c r="L88" i="19"/>
  <c r="M107" i="20"/>
  <c r="N75" i="20"/>
  <c r="K44" i="21"/>
  <c r="J147" i="22"/>
  <c r="D75" i="31"/>
  <c r="D23" i="26"/>
  <c r="D22" i="26" s="1"/>
  <c r="D13" i="26"/>
  <c r="D82" i="27"/>
  <c r="D93" i="27"/>
  <c r="D92" i="27" s="1"/>
  <c r="D129" i="29"/>
  <c r="D140" i="29"/>
  <c r="D139" i="29" s="1"/>
  <c r="D148" i="29"/>
  <c r="D147" i="29" s="1"/>
  <c r="L78" i="29"/>
  <c r="L86" i="29"/>
  <c r="H67" i="26"/>
  <c r="H66" i="26" s="1"/>
  <c r="H57" i="26"/>
  <c r="H13" i="28"/>
  <c r="H23" i="28"/>
  <c r="H22" i="28" s="1"/>
  <c r="H116" i="29"/>
  <c r="H115" i="29" s="1"/>
  <c r="H108" i="29"/>
  <c r="H107" i="29" s="1"/>
  <c r="H97" i="29"/>
  <c r="N13" i="27"/>
  <c r="N24" i="27"/>
  <c r="N23" i="27" s="1"/>
  <c r="N67" i="28"/>
  <c r="N66" i="28" s="1"/>
  <c r="N57" i="28"/>
  <c r="N57" i="30"/>
  <c r="N67" i="30"/>
  <c r="N66" i="30" s="1"/>
  <c r="N108" i="31"/>
  <c r="N107" i="31" s="1"/>
  <c r="N116" i="31"/>
  <c r="N115" i="31" s="1"/>
  <c r="N97" i="31"/>
  <c r="D23" i="31"/>
  <c r="G73" i="25"/>
  <c r="G82" i="27"/>
  <c r="G93" i="27"/>
  <c r="G92" i="27" s="1"/>
  <c r="G45" i="30"/>
  <c r="G44" i="30" s="1"/>
  <c r="G35" i="30"/>
  <c r="C73" i="25"/>
  <c r="C47" i="27"/>
  <c r="C46" i="27" s="1"/>
  <c r="C36" i="27"/>
  <c r="C35" i="28"/>
  <c r="C45" i="28"/>
  <c r="C44" i="28" s="1"/>
  <c r="M73" i="25"/>
  <c r="M59" i="27"/>
  <c r="M70" i="27"/>
  <c r="M69" i="27" s="1"/>
  <c r="M24" i="29"/>
  <c r="M23" i="29" s="1"/>
  <c r="M32" i="29"/>
  <c r="M31" i="29" s="1"/>
  <c r="M13" i="29"/>
  <c r="M31" i="31"/>
  <c r="E24" i="27"/>
  <c r="E23" i="27" s="1"/>
  <c r="E13" i="27"/>
  <c r="E23" i="30"/>
  <c r="E22" i="30" s="1"/>
  <c r="E13" i="30"/>
  <c r="F118" i="29"/>
  <c r="F110" i="29"/>
  <c r="F150" i="29"/>
  <c r="F142" i="29"/>
  <c r="F35" i="26"/>
  <c r="F45" i="26"/>
  <c r="F44" i="26" s="1"/>
  <c r="F36" i="27"/>
  <c r="F47" i="27"/>
  <c r="F46" i="27" s="1"/>
  <c r="F89" i="28"/>
  <c r="F88" i="28" s="1"/>
  <c r="F79" i="28"/>
  <c r="F148" i="29"/>
  <c r="F129" i="29"/>
  <c r="F140" i="29"/>
  <c r="L73" i="25"/>
  <c r="L57" i="26"/>
  <c r="L67" i="26"/>
  <c r="L66" i="26" s="1"/>
  <c r="L23" i="28"/>
  <c r="L22" i="28" s="1"/>
  <c r="L13" i="28"/>
  <c r="L84" i="29"/>
  <c r="L65" i="29"/>
  <c r="L76" i="29"/>
  <c r="L148" i="29"/>
  <c r="L147" i="29" s="1"/>
  <c r="L140" i="29"/>
  <c r="L129" i="29"/>
  <c r="C107" i="29"/>
  <c r="N23" i="29"/>
  <c r="J45" i="26"/>
  <c r="J44" i="26" s="1"/>
  <c r="J35" i="26"/>
  <c r="J36" i="27"/>
  <c r="J47" i="27"/>
  <c r="J46" i="27" s="1"/>
  <c r="J89" i="28"/>
  <c r="J88" i="28" s="1"/>
  <c r="J79" i="28"/>
  <c r="J23" i="30"/>
  <c r="J22" i="30" s="1"/>
  <c r="J13" i="30"/>
  <c r="K23" i="26"/>
  <c r="K22" i="26" s="1"/>
  <c r="K13" i="26"/>
  <c r="K59" i="27"/>
  <c r="K70" i="27"/>
  <c r="K69" i="27" s="1"/>
  <c r="K32" i="29"/>
  <c r="K31" i="29" s="1"/>
  <c r="K13" i="29"/>
  <c r="K24" i="29"/>
  <c r="K23" i="29" s="1"/>
  <c r="K147" i="31"/>
  <c r="K129" i="31"/>
  <c r="I23" i="26"/>
  <c r="I22" i="26" s="1"/>
  <c r="I13" i="26"/>
  <c r="I23" i="28"/>
  <c r="I22" i="28" s="1"/>
  <c r="I13" i="28"/>
  <c r="I76" i="29"/>
  <c r="I75" i="29" s="1"/>
  <c r="I65" i="29"/>
  <c r="I84" i="29"/>
  <c r="I83" i="29" s="1"/>
  <c r="M142" i="22"/>
  <c r="M139" i="22" s="1"/>
  <c r="M150" i="22"/>
  <c r="M147" i="22" s="1"/>
  <c r="G142" i="22"/>
  <c r="G139" i="22" s="1"/>
  <c r="G150" i="22"/>
  <c r="G147" i="22" s="1"/>
  <c r="K107" i="20"/>
  <c r="I107" i="20"/>
  <c r="M139" i="20"/>
  <c r="L31" i="20"/>
  <c r="D31" i="20"/>
  <c r="G107" i="20"/>
  <c r="H83" i="20"/>
  <c r="I142" i="20"/>
  <c r="I139" i="20" s="1"/>
  <c r="I147" i="20"/>
  <c r="F139" i="20"/>
  <c r="H31" i="20"/>
  <c r="J142" i="20"/>
  <c r="J147" i="20"/>
  <c r="I31" i="20"/>
  <c r="K142" i="20"/>
  <c r="K139" i="20" s="1"/>
  <c r="K147" i="20"/>
  <c r="F107" i="20"/>
  <c r="M83" i="20"/>
  <c r="J31" i="20"/>
  <c r="C47" i="19"/>
  <c r="C44" i="19" s="1"/>
  <c r="J129" i="20"/>
  <c r="N97" i="20"/>
  <c r="N110" i="20"/>
  <c r="N107" i="20" s="1"/>
  <c r="H65" i="20"/>
  <c r="G78" i="20"/>
  <c r="G75" i="20" s="1"/>
  <c r="M65" i="22"/>
  <c r="M86" i="22"/>
  <c r="M83" i="22" s="1"/>
  <c r="M78" i="22"/>
  <c r="M75" i="22" s="1"/>
  <c r="D78" i="22"/>
  <c r="D75" i="22" s="1"/>
  <c r="D65" i="22"/>
  <c r="D86" i="22"/>
  <c r="D83" i="22" s="1"/>
  <c r="E97" i="22"/>
  <c r="E118" i="22"/>
  <c r="E115" i="22" s="1"/>
  <c r="E110" i="22"/>
  <c r="E107" i="22" s="1"/>
  <c r="N86" i="22"/>
  <c r="N83" i="22" s="1"/>
  <c r="N78" i="22"/>
  <c r="N75" i="22" s="1"/>
  <c r="N65" i="22"/>
  <c r="K86" i="22"/>
  <c r="K83" i="22" s="1"/>
  <c r="K78" i="22"/>
  <c r="K75" i="22" s="1"/>
  <c r="L142" i="22"/>
  <c r="L139" i="22" s="1"/>
  <c r="L129" i="22"/>
  <c r="C118" i="22"/>
  <c r="C115" i="22" s="1"/>
  <c r="C110" i="22"/>
  <c r="C107" i="22" s="1"/>
  <c r="C97" i="22"/>
  <c r="I129" i="22"/>
  <c r="I142" i="22"/>
  <c r="I139" i="22" s="1"/>
  <c r="D142" i="22"/>
  <c r="D139" i="22" s="1"/>
  <c r="D129" i="22"/>
  <c r="J142" i="22"/>
  <c r="J139" i="22" s="1"/>
  <c r="J129" i="22"/>
  <c r="N35" i="19"/>
  <c r="E44" i="19"/>
  <c r="K44" i="19"/>
  <c r="I88" i="19"/>
  <c r="K91" i="19"/>
  <c r="K88" i="19" s="1"/>
  <c r="H107" i="20"/>
  <c r="C118" i="20"/>
  <c r="C115" i="20" s="1"/>
  <c r="G34" i="20"/>
  <c r="G31" i="20" s="1"/>
  <c r="K35" i="21"/>
  <c r="K97" i="22"/>
  <c r="K118" i="22"/>
  <c r="K115" i="22" s="1"/>
  <c r="K110" i="22"/>
  <c r="K107" i="22" s="1"/>
  <c r="E65" i="22"/>
  <c r="E86" i="22"/>
  <c r="E83" i="22" s="1"/>
  <c r="E78" i="22"/>
  <c r="E75" i="22" s="1"/>
  <c r="H97" i="22"/>
  <c r="H118" i="22"/>
  <c r="H115" i="22" s="1"/>
  <c r="H110" i="22"/>
  <c r="H107" i="22" s="1"/>
  <c r="G129" i="22"/>
  <c r="H88" i="19"/>
  <c r="G22" i="19"/>
  <c r="C97" i="20"/>
  <c r="K65" i="20"/>
  <c r="G86" i="20"/>
  <c r="G83" i="20" s="1"/>
  <c r="K142" i="22"/>
  <c r="K139" i="22" s="1"/>
  <c r="K129" i="22"/>
  <c r="I86" i="22"/>
  <c r="I83" i="22" s="1"/>
  <c r="I78" i="22"/>
  <c r="I75" i="22" s="1"/>
  <c r="I65" i="22"/>
  <c r="D118" i="22"/>
  <c r="D115" i="22" s="1"/>
  <c r="D110" i="22"/>
  <c r="D107" i="22" s="1"/>
  <c r="D97" i="22"/>
  <c r="G97" i="22"/>
  <c r="G118" i="22"/>
  <c r="G115" i="22" s="1"/>
  <c r="G110" i="22"/>
  <c r="G107" i="22" s="1"/>
  <c r="E142" i="22"/>
  <c r="E139" i="22" s="1"/>
  <c r="E129" i="22"/>
  <c r="G44" i="19"/>
  <c r="E88" i="19"/>
  <c r="D97" i="20"/>
  <c r="D107" i="20"/>
  <c r="J107" i="20"/>
  <c r="K75" i="20"/>
  <c r="G26" i="20"/>
  <c r="G23" i="20" s="1"/>
  <c r="L107" i="20"/>
  <c r="M79" i="21"/>
  <c r="N97" i="22"/>
  <c r="N118" i="22"/>
  <c r="N115" i="22" s="1"/>
  <c r="N110" i="22"/>
  <c r="N107" i="22" s="1"/>
  <c r="L65" i="22"/>
  <c r="L86" i="22"/>
  <c r="L83" i="22" s="1"/>
  <c r="L78" i="22"/>
  <c r="L75" i="22" s="1"/>
  <c r="C129" i="22"/>
  <c r="C142" i="22"/>
  <c r="C139" i="22" s="1"/>
  <c r="I118" i="22"/>
  <c r="I115" i="22" s="1"/>
  <c r="I110" i="22"/>
  <c r="I107" i="22" s="1"/>
  <c r="I97" i="22"/>
  <c r="M118" i="22"/>
  <c r="M115" i="22" s="1"/>
  <c r="M110" i="22"/>
  <c r="M107" i="22" s="1"/>
  <c r="H86" i="22"/>
  <c r="H83" i="22" s="1"/>
  <c r="H78" i="22"/>
  <c r="H75" i="22" s="1"/>
  <c r="H65" i="22"/>
  <c r="J65" i="22"/>
  <c r="J86" i="22"/>
  <c r="J83" i="22" s="1"/>
  <c r="J78" i="22"/>
  <c r="J75" i="22" s="1"/>
  <c r="M129" i="22"/>
  <c r="N44" i="19"/>
  <c r="F88" i="19"/>
  <c r="I129" i="20"/>
  <c r="N129" i="22"/>
  <c r="N142" i="22"/>
  <c r="N139" i="22" s="1"/>
  <c r="L97" i="22"/>
  <c r="L118" i="22"/>
  <c r="L115" i="22" s="1"/>
  <c r="L110" i="22"/>
  <c r="L107" i="22" s="1"/>
  <c r="C86" i="22"/>
  <c r="C83" i="22" s="1"/>
  <c r="C78" i="22"/>
  <c r="C75" i="22" s="1"/>
  <c r="G65" i="22"/>
  <c r="G86" i="22"/>
  <c r="G83" i="22" s="1"/>
  <c r="G78" i="22"/>
  <c r="G75" i="22" s="1"/>
  <c r="H129" i="22"/>
  <c r="H142" i="22"/>
  <c r="H139" i="22" s="1"/>
  <c r="J118" i="22"/>
  <c r="J115" i="22" s="1"/>
  <c r="J97" i="22"/>
  <c r="J110" i="22"/>
  <c r="J107" i="22" s="1"/>
  <c r="C65" i="22"/>
  <c r="N88" i="19"/>
  <c r="J79" i="21"/>
  <c r="J91" i="21"/>
  <c r="J88" i="21" s="1"/>
  <c r="G22" i="21"/>
  <c r="D35" i="19"/>
  <c r="E97" i="20"/>
  <c r="E118" i="20"/>
  <c r="E115" i="20" s="1"/>
  <c r="L25" i="21"/>
  <c r="L22" i="21" s="1"/>
  <c r="L13" i="21"/>
  <c r="N26" i="22"/>
  <c r="N23" i="22" s="1"/>
  <c r="N13" i="22"/>
  <c r="N34" i="22"/>
  <c r="N31" i="22" s="1"/>
  <c r="K61" i="1"/>
  <c r="K60" i="1" s="1"/>
  <c r="K45" i="1"/>
  <c r="K44" i="1" s="1"/>
  <c r="K29" i="1"/>
  <c r="K28" i="1" s="1"/>
  <c r="K13" i="1"/>
  <c r="K12" i="1" s="1"/>
  <c r="J61" i="1"/>
  <c r="J60" i="1" s="1"/>
  <c r="J45" i="1"/>
  <c r="J44" i="1" s="1"/>
  <c r="J29" i="1"/>
  <c r="J28" i="1" s="1"/>
  <c r="J13" i="1"/>
  <c r="J12" i="1" s="1"/>
  <c r="J26" i="22"/>
  <c r="J23" i="22" s="1"/>
  <c r="J34" i="22"/>
  <c r="J31" i="22" s="1"/>
  <c r="I26" i="22"/>
  <c r="I23" i="22" s="1"/>
  <c r="I34" i="22"/>
  <c r="I31" i="22" s="1"/>
  <c r="I13" i="22"/>
  <c r="L34" i="22"/>
  <c r="L31" i="22" s="1"/>
  <c r="L26" i="22"/>
  <c r="L23" i="22" s="1"/>
  <c r="L13" i="22"/>
  <c r="M34" i="22"/>
  <c r="M31" i="22" s="1"/>
  <c r="M26" i="22"/>
  <c r="M23" i="22" s="1"/>
  <c r="M13" i="22"/>
  <c r="G13" i="21"/>
  <c r="L97" i="20"/>
  <c r="E107" i="20"/>
  <c r="L78" i="20"/>
  <c r="L75" i="20" s="1"/>
  <c r="L118" i="20"/>
  <c r="L115" i="20" s="1"/>
  <c r="N13" i="21"/>
  <c r="N25" i="21"/>
  <c r="N22" i="21" s="1"/>
  <c r="C61" i="1"/>
  <c r="C60" i="1" s="1"/>
  <c r="C45" i="1"/>
  <c r="C44" i="1" s="1"/>
  <c r="C29" i="1"/>
  <c r="C28" i="1" s="1"/>
  <c r="C13" i="1"/>
  <c r="C12" i="1" s="1"/>
  <c r="D69" i="21"/>
  <c r="D66" i="21" s="1"/>
  <c r="D57" i="21"/>
  <c r="G57" i="21"/>
  <c r="C13" i="21"/>
  <c r="C25" i="21"/>
  <c r="C22" i="21" s="1"/>
  <c r="K69" i="21"/>
  <c r="K66" i="21" s="1"/>
  <c r="K57" i="21"/>
  <c r="H79" i="21"/>
  <c r="H91" i="21"/>
  <c r="H88" i="21" s="1"/>
  <c r="H47" i="21"/>
  <c r="H44" i="21" s="1"/>
  <c r="H35" i="21"/>
  <c r="C35" i="21"/>
  <c r="E35" i="21"/>
  <c r="J35" i="21"/>
  <c r="H13" i="21"/>
  <c r="H25" i="21"/>
  <c r="H22" i="21" s="1"/>
  <c r="L25" i="19"/>
  <c r="L22" i="19" s="1"/>
  <c r="N79" i="19"/>
  <c r="L65" i="20"/>
  <c r="L83" i="20"/>
  <c r="L47" i="21"/>
  <c r="L44" i="21" s="1"/>
  <c r="L35" i="21"/>
  <c r="M13" i="21"/>
  <c r="M25" i="21"/>
  <c r="M22" i="21" s="1"/>
  <c r="G26" i="22"/>
  <c r="G23" i="22" s="1"/>
  <c r="G34" i="22"/>
  <c r="G31" i="22" s="1"/>
  <c r="E69" i="21"/>
  <c r="E66" i="21" s="1"/>
  <c r="E57" i="21"/>
  <c r="J13" i="21"/>
  <c r="J25" i="21"/>
  <c r="J22" i="21" s="1"/>
  <c r="E44" i="21"/>
  <c r="K91" i="21"/>
  <c r="K88" i="21" s="1"/>
  <c r="K79" i="21"/>
  <c r="H57" i="21"/>
  <c r="H69" i="21"/>
  <c r="H66" i="21" s="1"/>
  <c r="I13" i="21"/>
  <c r="M57" i="21"/>
  <c r="M69" i="21"/>
  <c r="M66" i="21" s="1"/>
  <c r="L57" i="21"/>
  <c r="L69" i="21"/>
  <c r="L66" i="21" s="1"/>
  <c r="G79" i="21"/>
  <c r="G91" i="21"/>
  <c r="G88" i="21" s="1"/>
  <c r="D88" i="21"/>
  <c r="D26" i="22"/>
  <c r="D23" i="22" s="1"/>
  <c r="D34" i="22"/>
  <c r="D31" i="22" s="1"/>
  <c r="E91" i="21"/>
  <c r="E88" i="21" s="1"/>
  <c r="E79" i="21"/>
  <c r="C79" i="21"/>
  <c r="C91" i="21"/>
  <c r="C88" i="21" s="1"/>
  <c r="N35" i="21"/>
  <c r="K26" i="22"/>
  <c r="K23" i="22" s="1"/>
  <c r="K34" i="22"/>
  <c r="K31" i="22" s="1"/>
  <c r="I57" i="21"/>
  <c r="I69" i="21"/>
  <c r="I66" i="21" s="1"/>
  <c r="J44" i="21"/>
  <c r="J13" i="22"/>
  <c r="C57" i="21"/>
  <c r="E25" i="21"/>
  <c r="E22" i="21" s="1"/>
  <c r="E13" i="21"/>
  <c r="J66" i="19"/>
  <c r="D79" i="19"/>
  <c r="J79" i="19"/>
  <c r="D88" i="19"/>
  <c r="J88" i="19"/>
  <c r="C75" i="20"/>
  <c r="N83" i="20"/>
  <c r="L91" i="21"/>
  <c r="L88" i="21" s="1"/>
  <c r="L79" i="21"/>
  <c r="M47" i="21"/>
  <c r="M44" i="21" s="1"/>
  <c r="M35" i="21"/>
  <c r="N79" i="21"/>
  <c r="N91" i="21"/>
  <c r="N88" i="21" s="1"/>
  <c r="N57" i="21"/>
  <c r="N69" i="21"/>
  <c r="N66" i="21" s="1"/>
  <c r="D22" i="21"/>
  <c r="D35" i="21"/>
  <c r="D47" i="21"/>
  <c r="D44" i="21" s="1"/>
  <c r="E26" i="22"/>
  <c r="E23" i="22" s="1"/>
  <c r="E34" i="22"/>
  <c r="E31" i="22" s="1"/>
  <c r="I61" i="1"/>
  <c r="I60" i="1" s="1"/>
  <c r="I45" i="1"/>
  <c r="I44" i="1" s="1"/>
  <c r="I29" i="1"/>
  <c r="I28" i="1" s="1"/>
  <c r="I13" i="1"/>
  <c r="I12" i="1" s="1"/>
  <c r="C26" i="22"/>
  <c r="C23" i="22" s="1"/>
  <c r="C34" i="22"/>
  <c r="C31" i="22" s="1"/>
  <c r="J69" i="21"/>
  <c r="J66" i="21" s="1"/>
  <c r="J57" i="21"/>
  <c r="K25" i="21"/>
  <c r="K22" i="21" s="1"/>
  <c r="K13" i="21"/>
  <c r="H26" i="22"/>
  <c r="H23" i="22" s="1"/>
  <c r="H34" i="22"/>
  <c r="H31" i="22" s="1"/>
  <c r="G35" i="21"/>
  <c r="D79" i="21"/>
  <c r="D13" i="21"/>
  <c r="H13" i="22"/>
  <c r="I79" i="21"/>
  <c r="C107" i="20"/>
  <c r="I22" i="19"/>
  <c r="C22" i="19"/>
  <c r="G115" i="20"/>
  <c r="N31" i="20"/>
  <c r="H115" i="20"/>
  <c r="N115" i="20"/>
  <c r="J115" i="20"/>
  <c r="K23" i="20"/>
  <c r="M115" i="20"/>
  <c r="F115" i="20"/>
  <c r="J139" i="20"/>
  <c r="H44" i="19"/>
  <c r="D66" i="19"/>
  <c r="E66" i="19"/>
  <c r="G66" i="19"/>
  <c r="K22" i="19"/>
  <c r="I44" i="19"/>
  <c r="D44" i="19"/>
  <c r="F107" i="31" l="1"/>
  <c r="F45" i="25"/>
  <c r="F44" i="25" s="1"/>
  <c r="F29" i="25"/>
  <c r="F28" i="25" s="1"/>
  <c r="F13" i="25"/>
  <c r="F12" i="25" s="1"/>
  <c r="L83" i="31"/>
  <c r="L115" i="31"/>
  <c r="F115" i="31"/>
  <c r="F115" i="29"/>
  <c r="L139" i="29"/>
  <c r="F31" i="29"/>
  <c r="F83" i="29"/>
  <c r="L83" i="29"/>
  <c r="L107" i="31"/>
  <c r="L75" i="29"/>
  <c r="F23" i="29"/>
  <c r="F75" i="29"/>
  <c r="F67" i="25"/>
  <c r="F66" i="25" s="1"/>
  <c r="F107" i="29"/>
  <c r="N61" i="25"/>
  <c r="N60" i="25" s="1"/>
  <c r="N13" i="25"/>
  <c r="N12" i="25" s="1"/>
  <c r="N29" i="25"/>
  <c r="N28" i="25" s="1"/>
  <c r="N45" i="25"/>
  <c r="N44" i="25" s="1"/>
  <c r="L29" i="25"/>
  <c r="L28" i="25" s="1"/>
  <c r="L45" i="25"/>
  <c r="L44" i="25" s="1"/>
  <c r="L61" i="25"/>
  <c r="L60" i="25" s="1"/>
  <c r="L13" i="25"/>
  <c r="L12" i="25" s="1"/>
  <c r="J29" i="25"/>
  <c r="J28" i="25" s="1"/>
  <c r="J61" i="25"/>
  <c r="J60" i="25" s="1"/>
  <c r="J45" i="25"/>
  <c r="J44" i="25" s="1"/>
  <c r="J13" i="25"/>
  <c r="J12" i="25" s="1"/>
  <c r="M61" i="25"/>
  <c r="M60" i="25" s="1"/>
  <c r="M45" i="25"/>
  <c r="M44" i="25" s="1"/>
  <c r="M13" i="25"/>
  <c r="M12" i="25" s="1"/>
  <c r="M29" i="25"/>
  <c r="M28" i="25" s="1"/>
  <c r="G13" i="25"/>
  <c r="G12" i="25" s="1"/>
  <c r="G29" i="25"/>
  <c r="G28" i="25" s="1"/>
  <c r="G45" i="25"/>
  <c r="G44" i="25" s="1"/>
  <c r="G61" i="25"/>
  <c r="G60" i="25" s="1"/>
  <c r="H61" i="25"/>
  <c r="H60" i="25" s="1"/>
  <c r="H13" i="25"/>
  <c r="H12" i="25" s="1"/>
  <c r="H29" i="25"/>
  <c r="H28" i="25" s="1"/>
  <c r="H45" i="25"/>
  <c r="H44" i="25" s="1"/>
  <c r="L23" i="29"/>
  <c r="F83" i="31"/>
  <c r="K13" i="25"/>
  <c r="K12" i="25" s="1"/>
  <c r="K29" i="25"/>
  <c r="K28" i="25" s="1"/>
  <c r="K45" i="25"/>
  <c r="K44" i="25" s="1"/>
  <c r="K61" i="25"/>
  <c r="K60" i="25" s="1"/>
  <c r="F139" i="29"/>
  <c r="C45" i="25"/>
  <c r="C44" i="25" s="1"/>
  <c r="C61" i="25"/>
  <c r="C60" i="25" s="1"/>
  <c r="C13" i="25"/>
  <c r="C12" i="25" s="1"/>
  <c r="C29" i="25"/>
  <c r="C28" i="25" s="1"/>
  <c r="L31" i="29"/>
  <c r="F75" i="31"/>
  <c r="F51" i="25"/>
  <c r="F50" i="25" s="1"/>
  <c r="D45" i="25"/>
  <c r="D44" i="25" s="1"/>
  <c r="D13" i="25"/>
  <c r="D12" i="25" s="1"/>
  <c r="D29" i="25"/>
  <c r="D28" i="25" s="1"/>
  <c r="D61" i="25"/>
  <c r="D60" i="25" s="1"/>
  <c r="F35" i="25"/>
  <c r="F34" i="25" s="1"/>
  <c r="L115" i="29"/>
  <c r="F147" i="29"/>
  <c r="I13" i="25"/>
  <c r="I12" i="25" s="1"/>
  <c r="I29" i="25"/>
  <c r="I28" i="25" s="1"/>
  <c r="I61" i="25"/>
  <c r="I60" i="25" s="1"/>
  <c r="I45" i="25"/>
  <c r="I44" i="25" s="1"/>
  <c r="L107" i="29"/>
  <c r="E45" i="25"/>
  <c r="E44" i="25" s="1"/>
  <c r="E61" i="25"/>
  <c r="E60" i="25" s="1"/>
  <c r="E13" i="25"/>
  <c r="E12" i="25" s="1"/>
  <c r="E29" i="25"/>
  <c r="E28" i="25" s="1"/>
  <c r="C36" i="18"/>
  <c r="D36" i="18"/>
  <c r="E36" i="18"/>
  <c r="F36" i="18"/>
  <c r="G36" i="18"/>
  <c r="H36" i="18"/>
  <c r="I36" i="18"/>
  <c r="J36" i="18"/>
  <c r="K36" i="18"/>
  <c r="L36" i="18"/>
  <c r="M36" i="18"/>
  <c r="N3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N70" i="18"/>
  <c r="M70" i="18"/>
  <c r="M69" i="18" s="1"/>
  <c r="L70" i="18"/>
  <c r="K70" i="18"/>
  <c r="J70" i="18"/>
  <c r="I70" i="18"/>
  <c r="H70" i="18"/>
  <c r="G70" i="18"/>
  <c r="F70" i="18"/>
  <c r="E70" i="18"/>
  <c r="E69" i="18" s="1"/>
  <c r="D70" i="18"/>
  <c r="C70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91" i="17"/>
  <c r="M91" i="17"/>
  <c r="L91" i="17"/>
  <c r="K91" i="17"/>
  <c r="J91" i="17"/>
  <c r="I91" i="17"/>
  <c r="H91" i="17"/>
  <c r="G91" i="17"/>
  <c r="F91" i="17"/>
  <c r="E91" i="17"/>
  <c r="D91" i="17"/>
  <c r="C91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N89" i="17"/>
  <c r="M89" i="17"/>
  <c r="L89" i="17"/>
  <c r="K89" i="17"/>
  <c r="J89" i="17"/>
  <c r="I89" i="17"/>
  <c r="H89" i="17"/>
  <c r="G89" i="17"/>
  <c r="F89" i="17"/>
  <c r="E89" i="17"/>
  <c r="E88" i="17" s="1"/>
  <c r="D89" i="17"/>
  <c r="C8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F19" i="25" l="1"/>
  <c r="F18" i="25" s="1"/>
  <c r="J92" i="18"/>
  <c r="N88" i="17"/>
  <c r="I92" i="18"/>
  <c r="J23" i="18"/>
  <c r="K66" i="17"/>
  <c r="C69" i="18"/>
  <c r="K69" i="18"/>
  <c r="C92" i="18"/>
  <c r="K92" i="18"/>
  <c r="D44" i="17"/>
  <c r="D66" i="17"/>
  <c r="D23" i="18"/>
  <c r="L69" i="18"/>
  <c r="L92" i="18"/>
  <c r="M92" i="18"/>
  <c r="N66" i="17"/>
  <c r="F23" i="18"/>
  <c r="H88" i="17"/>
  <c r="G92" i="18"/>
  <c r="H66" i="17"/>
  <c r="G69" i="18"/>
  <c r="N92" i="18"/>
  <c r="I88" i="17"/>
  <c r="I69" i="18"/>
  <c r="H92" i="18"/>
  <c r="E92" i="18"/>
  <c r="F69" i="18"/>
  <c r="M66" i="17"/>
  <c r="I44" i="17"/>
  <c r="K88" i="17"/>
  <c r="M88" i="17"/>
  <c r="F92" i="18"/>
  <c r="C44" i="17"/>
  <c r="L88" i="17"/>
  <c r="D19" i="25"/>
  <c r="D18" i="25" s="1"/>
  <c r="K19" i="25"/>
  <c r="K18" i="25" s="1"/>
  <c r="H19" i="25"/>
  <c r="H18" i="25" s="1"/>
  <c r="G19" i="25"/>
  <c r="G18" i="25" s="1"/>
  <c r="L35" i="25"/>
  <c r="L34" i="25" s="1"/>
  <c r="N19" i="25"/>
  <c r="N18" i="25" s="1"/>
  <c r="D51" i="25"/>
  <c r="D50" i="25" s="1"/>
  <c r="H67" i="25"/>
  <c r="H66" i="25" s="1"/>
  <c r="J19" i="25"/>
  <c r="J18" i="25" s="1"/>
  <c r="N67" i="25"/>
  <c r="N66" i="25" s="1"/>
  <c r="E35" i="25"/>
  <c r="E34" i="25" s="1"/>
  <c r="I51" i="25"/>
  <c r="I50" i="25" s="1"/>
  <c r="C35" i="25"/>
  <c r="C34" i="25" s="1"/>
  <c r="M35" i="25"/>
  <c r="M34" i="25" s="1"/>
  <c r="J51" i="25"/>
  <c r="J50" i="25" s="1"/>
  <c r="E19" i="25"/>
  <c r="E18" i="25" s="1"/>
  <c r="I67" i="25"/>
  <c r="I66" i="25" s="1"/>
  <c r="C19" i="25"/>
  <c r="C18" i="25" s="1"/>
  <c r="K67" i="25"/>
  <c r="K66" i="25" s="1"/>
  <c r="G67" i="25"/>
  <c r="G66" i="25" s="1"/>
  <c r="M19" i="25"/>
  <c r="M18" i="25" s="1"/>
  <c r="J67" i="25"/>
  <c r="J66" i="25" s="1"/>
  <c r="L19" i="25"/>
  <c r="L18" i="25" s="1"/>
  <c r="E67" i="25"/>
  <c r="E66" i="25" s="1"/>
  <c r="I35" i="25"/>
  <c r="I34" i="25" s="1"/>
  <c r="D67" i="25"/>
  <c r="D66" i="25" s="1"/>
  <c r="C67" i="25"/>
  <c r="C66" i="25" s="1"/>
  <c r="K51" i="25"/>
  <c r="K50" i="25" s="1"/>
  <c r="H51" i="25"/>
  <c r="H50" i="25" s="1"/>
  <c r="G51" i="25"/>
  <c r="G50" i="25" s="1"/>
  <c r="M51" i="25"/>
  <c r="M50" i="25" s="1"/>
  <c r="J35" i="25"/>
  <c r="J34" i="25" s="1"/>
  <c r="L67" i="25"/>
  <c r="L66" i="25" s="1"/>
  <c r="N51" i="25"/>
  <c r="N50" i="25" s="1"/>
  <c r="E51" i="25"/>
  <c r="E50" i="25" s="1"/>
  <c r="I19" i="25"/>
  <c r="I18" i="25" s="1"/>
  <c r="D35" i="25"/>
  <c r="D34" i="25" s="1"/>
  <c r="C51" i="25"/>
  <c r="C50" i="25" s="1"/>
  <c r="K35" i="25"/>
  <c r="K34" i="25" s="1"/>
  <c r="H35" i="25"/>
  <c r="H34" i="25" s="1"/>
  <c r="G35" i="25"/>
  <c r="G34" i="25" s="1"/>
  <c r="M67" i="25"/>
  <c r="M66" i="25" s="1"/>
  <c r="L51" i="25"/>
  <c r="L50" i="25" s="1"/>
  <c r="N35" i="25"/>
  <c r="N34" i="25" s="1"/>
  <c r="J88" i="17"/>
  <c r="C23" i="18"/>
  <c r="H44" i="17"/>
  <c r="F88" i="17"/>
  <c r="C88" i="17"/>
  <c r="N44" i="17"/>
  <c r="L44" i="17"/>
  <c r="G88" i="17"/>
  <c r="D88" i="17"/>
  <c r="J44" i="17"/>
  <c r="G66" i="17"/>
  <c r="M44" i="17"/>
  <c r="I66" i="17"/>
  <c r="C66" i="17"/>
  <c r="F44" i="17"/>
  <c r="L23" i="18"/>
  <c r="N23" i="18"/>
  <c r="N69" i="18"/>
  <c r="E23" i="18"/>
  <c r="K23" i="18"/>
  <c r="D69" i="18"/>
  <c r="L46" i="18"/>
  <c r="G23" i="18"/>
  <c r="H69" i="18"/>
  <c r="J69" i="18"/>
  <c r="H23" i="18"/>
  <c r="M23" i="18"/>
  <c r="F46" i="18"/>
  <c r="N46" i="18"/>
  <c r="H46" i="18"/>
  <c r="G46" i="18"/>
  <c r="K46" i="18"/>
  <c r="E46" i="18"/>
  <c r="M46" i="18"/>
  <c r="J46" i="18"/>
  <c r="D46" i="18"/>
  <c r="I46" i="18"/>
  <c r="C46" i="18"/>
  <c r="I23" i="18"/>
  <c r="D92" i="18"/>
  <c r="G44" i="17"/>
  <c r="J66" i="17"/>
  <c r="D22" i="17"/>
  <c r="J22" i="17"/>
  <c r="E66" i="17"/>
  <c r="E22" i="17"/>
  <c r="K22" i="17"/>
  <c r="E44" i="17"/>
  <c r="K44" i="17"/>
  <c r="L22" i="17"/>
  <c r="H22" i="17"/>
  <c r="F66" i="17"/>
  <c r="L66" i="17"/>
  <c r="I22" i="17"/>
  <c r="F22" i="17"/>
  <c r="G22" i="17"/>
  <c r="M22" i="17"/>
  <c r="N22" i="17"/>
  <c r="C22" i="17"/>
  <c r="N70" i="1" l="1"/>
  <c r="M70" i="1"/>
  <c r="L70" i="1"/>
  <c r="K70" i="1"/>
  <c r="J70" i="1"/>
  <c r="I70" i="1"/>
  <c r="H70" i="1"/>
  <c r="G70" i="1"/>
  <c r="F70" i="1"/>
  <c r="E70" i="1"/>
  <c r="D70" i="1"/>
  <c r="C70" i="1"/>
  <c r="N68" i="1"/>
  <c r="M68" i="1"/>
  <c r="L68" i="1"/>
  <c r="K68" i="1"/>
  <c r="J68" i="1"/>
  <c r="I68" i="1"/>
  <c r="H68" i="1"/>
  <c r="G68" i="1"/>
  <c r="F68" i="1"/>
  <c r="E68" i="1"/>
  <c r="D68" i="1"/>
  <c r="C68" i="1"/>
  <c r="N67" i="1"/>
  <c r="M67" i="1"/>
  <c r="L67" i="1"/>
  <c r="K67" i="1"/>
  <c r="J67" i="1"/>
  <c r="J66" i="1" s="1"/>
  <c r="I67" i="1"/>
  <c r="I66" i="1" s="1"/>
  <c r="H67" i="1"/>
  <c r="H66" i="1" s="1"/>
  <c r="G67" i="1"/>
  <c r="G66" i="1" s="1"/>
  <c r="F67" i="1"/>
  <c r="E67" i="1"/>
  <c r="D67" i="1"/>
  <c r="C67" i="1"/>
  <c r="N54" i="1"/>
  <c r="M54" i="1"/>
  <c r="L54" i="1"/>
  <c r="K54" i="1"/>
  <c r="J54" i="1"/>
  <c r="I54" i="1"/>
  <c r="H54" i="1"/>
  <c r="G54" i="1"/>
  <c r="F54" i="1"/>
  <c r="E54" i="1"/>
  <c r="D54" i="1"/>
  <c r="C54" i="1"/>
  <c r="N52" i="1"/>
  <c r="M52" i="1"/>
  <c r="L52" i="1"/>
  <c r="K52" i="1"/>
  <c r="J52" i="1"/>
  <c r="I52" i="1"/>
  <c r="H52" i="1"/>
  <c r="G52" i="1"/>
  <c r="F52" i="1"/>
  <c r="E52" i="1"/>
  <c r="D52" i="1"/>
  <c r="C52" i="1"/>
  <c r="N51" i="1"/>
  <c r="N50" i="1" s="1"/>
  <c r="M51" i="1"/>
  <c r="M50" i="1" s="1"/>
  <c r="L51" i="1"/>
  <c r="L50" i="1" s="1"/>
  <c r="K51" i="1"/>
  <c r="K50" i="1" s="1"/>
  <c r="J51" i="1"/>
  <c r="I51" i="1"/>
  <c r="H51" i="1"/>
  <c r="G51" i="1"/>
  <c r="F51" i="1"/>
  <c r="F50" i="1" s="1"/>
  <c r="E51" i="1"/>
  <c r="E50" i="1" s="1"/>
  <c r="D51" i="1"/>
  <c r="D50" i="1" s="1"/>
  <c r="C51" i="1"/>
  <c r="C50" i="1" s="1"/>
  <c r="N38" i="1"/>
  <c r="M38" i="1"/>
  <c r="L38" i="1"/>
  <c r="K38" i="1"/>
  <c r="J38" i="1"/>
  <c r="I38" i="1"/>
  <c r="H38" i="1"/>
  <c r="G38" i="1"/>
  <c r="F38" i="1"/>
  <c r="E38" i="1"/>
  <c r="D38" i="1"/>
  <c r="C38" i="1"/>
  <c r="N36" i="1"/>
  <c r="M36" i="1"/>
  <c r="L36" i="1"/>
  <c r="K36" i="1"/>
  <c r="J36" i="1"/>
  <c r="I36" i="1"/>
  <c r="H36" i="1"/>
  <c r="G36" i="1"/>
  <c r="F36" i="1"/>
  <c r="E36" i="1"/>
  <c r="D36" i="1"/>
  <c r="C36" i="1"/>
  <c r="N35" i="1"/>
  <c r="M35" i="1"/>
  <c r="L35" i="1"/>
  <c r="K35" i="1"/>
  <c r="J35" i="1"/>
  <c r="J34" i="1" s="1"/>
  <c r="I35" i="1"/>
  <c r="I34" i="1" s="1"/>
  <c r="H35" i="1"/>
  <c r="G35" i="1"/>
  <c r="G34" i="1" s="1"/>
  <c r="F35" i="1"/>
  <c r="E35" i="1"/>
  <c r="D35" i="1"/>
  <c r="C35" i="1"/>
  <c r="N22" i="1"/>
  <c r="M22" i="1"/>
  <c r="L22" i="1"/>
  <c r="K22" i="1"/>
  <c r="J22" i="1"/>
  <c r="I22" i="1"/>
  <c r="H22" i="1"/>
  <c r="G22" i="1"/>
  <c r="F22" i="1"/>
  <c r="E22" i="1"/>
  <c r="D22" i="1"/>
  <c r="C22" i="1"/>
  <c r="N20" i="1"/>
  <c r="M20" i="1"/>
  <c r="L20" i="1"/>
  <c r="K20" i="1"/>
  <c r="J20" i="1"/>
  <c r="I20" i="1"/>
  <c r="H20" i="1"/>
  <c r="G20" i="1"/>
  <c r="F20" i="1"/>
  <c r="E20" i="1"/>
  <c r="D20" i="1"/>
  <c r="C20" i="1"/>
  <c r="N19" i="1"/>
  <c r="M19" i="1"/>
  <c r="M18" i="1" s="1"/>
  <c r="L19" i="1"/>
  <c r="L18" i="1" s="1"/>
  <c r="K19" i="1"/>
  <c r="K18" i="1" s="1"/>
  <c r="J19" i="1"/>
  <c r="I19" i="1"/>
  <c r="H19" i="1"/>
  <c r="G19" i="1"/>
  <c r="F19" i="1"/>
  <c r="F18" i="1" s="1"/>
  <c r="E19" i="1"/>
  <c r="E18" i="1" s="1"/>
  <c r="D19" i="1"/>
  <c r="C19" i="1"/>
  <c r="C18" i="1" s="1"/>
  <c r="G50" i="1" l="1"/>
  <c r="C66" i="1"/>
  <c r="K66" i="1"/>
  <c r="D66" i="1"/>
  <c r="C34" i="1"/>
  <c r="L34" i="1"/>
  <c r="H50" i="1"/>
  <c r="L66" i="1"/>
  <c r="E34" i="1"/>
  <c r="M34" i="1"/>
  <c r="I50" i="1"/>
  <c r="E66" i="1"/>
  <c r="M66" i="1"/>
  <c r="G18" i="1"/>
  <c r="K34" i="1"/>
  <c r="I18" i="1"/>
  <c r="J18" i="1"/>
  <c r="F34" i="1"/>
  <c r="J50" i="1"/>
  <c r="F66" i="1"/>
  <c r="N66" i="1"/>
  <c r="H34" i="1"/>
  <c r="H18" i="1"/>
  <c r="N18" i="1"/>
  <c r="N34" i="1"/>
  <c r="D18" i="1"/>
  <c r="D34" i="1"/>
</calcChain>
</file>

<file path=xl/sharedStrings.xml><?xml version="1.0" encoding="utf-8"?>
<sst xmlns="http://schemas.openxmlformats.org/spreadsheetml/2006/main" count="3189" uniqueCount="125">
  <si>
    <t>№ п/п</t>
  </si>
  <si>
    <t>Группа потребителей</t>
  </si>
  <si>
    <t>ВН</t>
  </si>
  <si>
    <t>НН</t>
  </si>
  <si>
    <t>1.1.</t>
  </si>
  <si>
    <t>Прочие потребители</t>
  </si>
  <si>
    <t>1.1.1.</t>
  </si>
  <si>
    <t>Иные прочие потребители</t>
  </si>
  <si>
    <t>- услуги по передаче</t>
  </si>
  <si>
    <t>- сбытовая надбавка ГП</t>
  </si>
  <si>
    <t>1.1.2.</t>
  </si>
  <si>
    <t>Потребители, рассчитывающиеся по договорам купли-продажи</t>
  </si>
  <si>
    <t>средневзвешенная нерегулируемая цена на электрическую энергию на оптовом рынке, руб./МВт∙ч</t>
  </si>
  <si>
    <t>средневзвешенная нерегулируемая цена на мощность на оптовом рынке, руб./МВт</t>
  </si>
  <si>
    <t>2.1.</t>
  </si>
  <si>
    <t>2.1.1.</t>
  </si>
  <si>
    <t>2.1.2.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</si>
  <si>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</si>
  <si>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</si>
  <si>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</si>
  <si>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</si>
  <si>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</si>
  <si>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</si>
  <si>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</si>
  <si>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</si>
  <si>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</si>
  <si>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</si>
  <si>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</si>
  <si>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</si>
  <si>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Прогноз предельных уровней нерегулируемых цен на электрическую энергию (мощность), поставляемую АО "Мосэнергосбыт"</t>
  </si>
  <si>
    <t>потребителям с максимальной мощностью энергопринимающих устройств менее 670 кВт в г. Москве,</t>
  </si>
  <si>
    <t>3.1.</t>
  </si>
  <si>
    <t>3.1.1.</t>
  </si>
  <si>
    <t>3.1.2.</t>
  </si>
  <si>
    <t>4.1.</t>
  </si>
  <si>
    <t>4.1.1.</t>
  </si>
  <si>
    <t>4.1.2.</t>
  </si>
  <si>
    <t>потребителям с максимальной мощностью энергопринимающих устройств менее 670 кВт в Московской области,</t>
  </si>
  <si>
    <t>СН-1</t>
  </si>
  <si>
    <t>СН-2</t>
  </si>
  <si>
    <t>не менее 10 МВт</t>
  </si>
  <si>
    <t>от 670 кВт до 10 МВт</t>
  </si>
  <si>
    <t>- плата за иные услуги</t>
  </si>
  <si>
    <t>менее 670 кВт</t>
  </si>
  <si>
    <t xml:space="preserve">Потребители, подключенные к шинам РУ ПЭ </t>
  </si>
  <si>
    <t>Московская область</t>
  </si>
  <si>
    <t>Договор энергоснабжения (иные прочие потребители)</t>
  </si>
  <si>
    <t>Договор купли-продажи (иные прочие потребители)</t>
  </si>
  <si>
    <t>Потребители, подключенные к ЕНЭС 220 кВ</t>
  </si>
  <si>
    <t>Потребители, подключенные к ЕНЭС 330 кВ</t>
  </si>
  <si>
    <t>Уровень напряжения</t>
  </si>
  <si>
    <t>Субъект РФ</t>
  </si>
  <si>
    <t>Диапазон максимальной мощности</t>
  </si>
  <si>
    <t>Тип</t>
  </si>
  <si>
    <t>Ссылка</t>
  </si>
  <si>
    <t>Перейти</t>
  </si>
  <si>
    <t>г. Москва</t>
  </si>
  <si>
    <t>Реестр</t>
  </si>
  <si>
    <t>потребителям с максимальной мощностью энергопринимающих устройств от 670 кВт до 10 МВт в г. Москве,</t>
  </si>
  <si>
    <r>
      <t xml:space="preserve">I. Первая ценовая категория
</t>
    </r>
    <r>
      <rPr>
        <sz val="13"/>
        <color theme="1"/>
        <rFont val="Arial"/>
        <family val="2"/>
        <charset val="204"/>
      </rPr>
      <t>для объемов покупки электрической энергии (мощности), учет которых осуществляется в целом за расчетный период</t>
    </r>
  </si>
  <si>
    <r>
      <t xml:space="preserve">III. Третья ценовая категория
</t>
    </r>
    <r>
      <rPr>
        <sz val="13"/>
        <color theme="1"/>
        <rFont val="Arial"/>
        <family val="2"/>
        <charset val="204"/>
      </rPr>
      <t>для объемов покупки электрической энергии (мощности), учет которых осуществляется в целом за расчетный период</t>
    </r>
  </si>
  <si>
    <t>Ставка за электрическую энергию, руб./МВт∙ч без НДС</t>
  </si>
  <si>
    <t>Ставка за мощность, руб./МВт без НДС</t>
  </si>
  <si>
    <r>
      <t xml:space="preserve">IV. Четвертая ценовая категория
</t>
    </r>
    <r>
      <rPr>
        <sz val="13"/>
        <color theme="1"/>
        <rFont val="Arial"/>
        <family val="2"/>
        <charset val="204"/>
      </rPr>
      <t>для объемов покупки электрической энергии (мощности), учет которых осуществляется в целом за расчетный период</t>
    </r>
  </si>
  <si>
    <t>- ставка тарифа на услуги по передаче на оплату потерь</t>
  </si>
  <si>
    <t>Ставка тарифа на услуги по передаче за содержание сетей, руб./МВт без НДС</t>
  </si>
  <si>
    <t>Потребители, подключенные к РУ ПЭ</t>
  </si>
  <si>
    <t>2.1.3.</t>
  </si>
  <si>
    <t>Потребители, подключенные к ЕНЭС (класс напряжения подстанции 220 кВ и ниже)</t>
  </si>
  <si>
    <t>Потребители, подключенные к ЕНЭС (класс напряжения подстанции 330 кВ и выше)</t>
  </si>
  <si>
    <t>Ценовая категория</t>
  </si>
  <si>
    <t>1 ЦК</t>
  </si>
  <si>
    <t>3 ЦК</t>
  </si>
  <si>
    <t>4 ЦК</t>
  </si>
  <si>
    <t>1. Предельные уровни нерегулируемых цен для потребителей с максимальной мощностью энергопринимающих устройств менее 670 кВт и уровнем напряжения ВН, руб./МВт∙ч без НДС</t>
  </si>
  <si>
    <t>2. Предельные уровни нерегулируемых цен для потребителей с максимальной мощностью энергопринимающих устройств менее 670 кВт и уровнем напряжения СН-1, руб./МВт∙ч без НДС</t>
  </si>
  <si>
    <t>3. Предельные уровни нерегулируемых цен для потребителей с максимальной мощностью энергопринимающих устройств менее 670 кВт и уровнем напряжения СН-2, руб./МВт∙ч без НДС</t>
  </si>
  <si>
    <t>4. Предельные уровни нерегулируемых цен для потребителей с максимальной мощностью энергопринимающих устройств менее 670 кВт и уровнем напряжения НН, руб./МВт∙ч без НДС</t>
  </si>
  <si>
    <t>1. Предельные уровни нерегулируемых цен для потребителей с максимальной мощностью энергопринимающих устройств менее 670 кВт и уровнем напряжения ВН</t>
  </si>
  <si>
    <t>2. Предельные уровни нерегулируемых цен для потребителей с максимальной мощностью энергопринимающих устройств менее 670 кВт и уровнем напряжения СН-1</t>
  </si>
  <si>
    <t>3. Предельные уровни нерегулируемых цен для потребителей с максимальной мощностью энергопринимающих устройств менее 670 кВт и уровнем напряжения СН-2</t>
  </si>
  <si>
    <t>4. Предельные уровни нерегулируемых цен для потребителей с максимальной мощностью энергопринимающих устройств менее 670 кВт и уровнем напряжения НН</t>
  </si>
  <si>
    <t>4. Предельные уровни нерегулируемых цен для потребителей с максимальной мощностью энергопринимающих устройств от 670 кВт до 10 МВт и уровнем напряжения НН</t>
  </si>
  <si>
    <t>3. Предельные уровни нерегулируемых цен для потребителей с максимальной мощностью энергопринимающих устройств от 670 кВт до 10 МВт и уровнем напряжения СН-2</t>
  </si>
  <si>
    <t>2. Предельные уровни нерегулируемых цен для потребителей с максимальной мощностью энергопринимающих устройств от 670 кВт до 10 МВт и уровнем напряжения СН-1</t>
  </si>
  <si>
    <t>1. Предельные уровни нерегулируемых цен для потребителей с максимальной мощностью энергопринимающих устройств от 670 кВт до 10 МВт и уровнем напряжения ВН</t>
  </si>
  <si>
    <t>1. Предельные уровни нерегулируемых цен для потребителей с максимальной мощностью энергопринимающих устройств от 670 кВт до 10 МВт и уровнем напряжения ВН, руб./МВт∙ч без НДС</t>
  </si>
  <si>
    <t>2. Предельные уровни нерегулируемых цен для потребителей с максимальной мощностью энергопринимающих устройств от 670 кВт до 10 МВт и уровнем напряжения СН-1, руб./МВт∙ч без НДС</t>
  </si>
  <si>
    <t>3. Предельные уровни нерегулируемых цен для потребителей с максимальной мощностью энергопринимающих устройств от 670 кВт до 10 МВт и уровнем напряжения СН-2, руб./МВт∙ч без НДС</t>
  </si>
  <si>
    <t>1.1.3.</t>
  </si>
  <si>
    <t>1.1.4.</t>
  </si>
  <si>
    <t>1.1.5.</t>
  </si>
  <si>
    <t>3.1.3.</t>
  </si>
  <si>
    <t>потребителям с максимальной мощностью энергопринимающих устройств свыше 10 МВт в г. Москве,</t>
  </si>
  <si>
    <t>1. Предельные уровни нерегулируемых цен для потребителей с максимальной мощностью энергопринимающих устройств свыше 10 МВт и уровнем напряжения ВН</t>
  </si>
  <si>
    <t>2. Предельные уровни нерегулируемых цен для потребителей с максимальной мощностью энергопринимающих устройств свыше 10 МВт и уровнем напряжения СН-1</t>
  </si>
  <si>
    <t>3. Предельные уровни нерегулируемых цен для потребителей с максимальной мощностью энергопринимающих устройств свыше 10 МВт и уровнем напряжения СН-2</t>
  </si>
  <si>
    <t>4. Предельные уровни нерегулируемых цен для потребителей с максимальной мощностью энергопринимающих устройств свыше 10 МВт и уровнем напряжения НН</t>
  </si>
  <si>
    <t>1. Предельные уровни нерегулируемых цен для потребителей с максимальной мощностью энергопринимающих устройств свыше 10 МВт и уровнем напряжения ВН, руб./МВт∙ч без НДС</t>
  </si>
  <si>
    <t>2. Предельные уровни нерегулируемых цен для потребителей с максимальной мощностью энергопринимающих устройств свыше 10 МВт и уровнем напряжения СН-1, руб./МВт∙ч без НДС</t>
  </si>
  <si>
    <t>3. Предельные уровни нерегулируемых цен для потребителей с максимальной мощностью энергопринимающих устройств свыше 10 МВт и уровнем напряжения СН-2, руб./МВт∙ч без НДС</t>
  </si>
  <si>
    <t>- средневзв. цена э/э **</t>
  </si>
  <si>
    <t>потребителям с максимальной мощностью энергопринимающих устройств от 670 кВт до 10 МВт в Московской области,</t>
  </si>
  <si>
    <t>потребителям с максимальной мощностью энергопринимающих устройств свыше 10 МВт в Московской области,</t>
  </si>
  <si>
    <t>4.1.3.</t>
  </si>
  <si>
    <t>Сценарные условия для построения прогнозов предельных уровней нерегулируемых цен на электрическую энергию (мощность), поставляемую АО "Мосэнергосбыт"</t>
  </si>
  <si>
    <t>Средневзвешенная нерегулируемая цена на электрическую энергию (мощность), без НДС, руб./МВт∙ч ²</t>
  </si>
  <si>
    <t>коэффициент оплаты мощности потребителями (покупателями), 1/час ³</t>
  </si>
  <si>
    <r>
      <rPr>
        <sz val="11"/>
        <color theme="1"/>
        <rFont val="Arial"/>
        <family val="2"/>
        <charset val="204"/>
      </rPr>
      <t>¹</t>
    </r>
    <r>
      <rPr>
        <i/>
        <sz val="11"/>
        <color theme="1"/>
        <rFont val="Arial"/>
        <family val="2"/>
        <charset val="204"/>
      </rPr>
      <t xml:space="preserve"> Обращаем внимание, что фактические цены АО "Мосэнергосбыт" могут отличаться от прогнозных цен в связи с:
  - установлением регулирующими органами тарифно-балансовых решений, отличных от учтенных при планировании;
  - изменением средневзвешенных нерегулируемых цен на электрическую энергию из-за погодных условий (аномальная температура наружного воздуха, осадки);
  - изменением объема выработки электроэнергии крупными гидроэлектростанциями (из-за изменения водности рек) и атомными электростанциями (из-за ремонтов оборудования);
  - изменением нормативно-правовых актов в области электроэнергетики;
  - влиянием иных рыночных факторов</t>
    </r>
  </si>
  <si>
    <t>² Соответствует прогнозной величине средневзвешенной нерегулируемой цены на электрическую энергию (мощность), используемой для расчета предельного уровня нерегулируемых цен для первой ценовой категории</t>
  </si>
  <si>
    <t>³ Соответствует прогнозной величине коэффициента оплаты мощности потребителями (покупателями), осуществляющими расчеты по первой ценовой категории</t>
  </si>
  <si>
    <t>- средневзв. цена э/э (м) ²</t>
  </si>
  <si>
    <r>
      <rPr>
        <sz val="11"/>
        <color theme="1"/>
        <rFont val="Arial"/>
        <family val="2"/>
        <charset val="204"/>
      </rPr>
      <t>²</t>
    </r>
    <r>
      <rPr>
        <i/>
        <sz val="11"/>
        <color theme="1"/>
        <rFont val="Arial"/>
        <family val="2"/>
        <charset val="204"/>
      </rPr>
      <t xml:space="preserve"> Соответствует прогнозной величине средневзвешенной нерегулируемой цены на электрическую энергию, используемой для расчета предельного уровня нерегулируемых цен для первой ценовой категории</t>
    </r>
  </si>
  <si>
    <t>- средневзв. цена э/э ²</t>
  </si>
  <si>
    <t>¹ Обращаем внимание, что фактические цены АО "Мосэнергосбыт" могут отличаться от прогнозных цен в связи с:
  - установлением регулирующими органами тарифно-балансовых решений, отличных от учтенных при планировании;
  - изменением средневзвешенных нерегулируемых цен на электрическую энергию из-за погодных условий (аномальная температура наружного воздуха, осадки);
  - изменением объема выработки электроэнергии крупными гидроэлектростанциями (из-за изменения водности рек) и атомными электростанциями (из-за ремонтов оборудования);
  - изменением нормативно-правовых актов в области электроэнергетики;
  - влиянием иных рыночных факторов</t>
  </si>
  <si>
    <t>² Соответствует прогнозной величине средневзвешенной нерегулируемой цены на электрическую энергию, используемой для расчета предельного уровня нерегулируемых цен для первой ценовой категории</t>
  </si>
  <si>
    <t>- плата за услуги по управлению изменением режима
  потребления электрической энергии</t>
  </si>
  <si>
    <t>- средневзвешенная нерегулируемая цена
  на мощность на оптовом рынке</t>
  </si>
  <si>
    <t>Ставка за мощность предельного уровня нерегулируемых цен, руб./МВт без НДС</t>
  </si>
  <si>
    <t>- прогноз цен на мощность сформирован с учетом актуальной информации о сроках вводов в эксплуатацию новых генерирующих объектов и итогов конкурентного отбора мощности на 2026 год;</t>
  </si>
  <si>
    <t>- прогноз цен на электрическую энергию сформирован с учетом темпов роста цен на природный газ и актуального прогноза Ассоциации "НП Совет рынка";</t>
  </si>
  <si>
    <t>- тарифные составляющие (тарифы на услуги по передаче, сбытовая надбавка гарантирующего поставщика, размер платы за иные услуги и иные тарифы) сформированы на основании принятых тарифных решений. Индексация всех тарифных составляющих ожидается с 01.10.2026.</t>
  </si>
  <si>
    <t>на 2026 год ¹</t>
  </si>
  <si>
    <t>(по состоянию на 30.01.2026)</t>
  </si>
  <si>
    <t>(прогноз по состоянию на 30.01.2026)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</si>
</sst>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[$-419]mmmm\ yyyy;@"/>
    <numFmt numFmtId="168" formatCode="#,##0.00000"/>
    <numFmt numFmtId="170" formatCode="#,##0.0"/>
    <numFmt numFmtId="171" formatCode="_-* #,##0.00\ _₽_-;\-* #,##0.00\ _₽_-;_-* &quot;-&quot;??\ _₽_-;_-@_-"/>
  </numFmts>
  <fonts count="2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3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Arial"/>
      <family val="2"/>
      <charset val="204"/>
    </font>
    <font>
      <b/>
      <sz val="10.5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i/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4"/>
      <name val="Arial"/>
      <family val="2"/>
      <charset val="204"/>
    </font>
    <font>
      <b/>
      <sz val="12"/>
      <color theme="0"/>
      <name val="Arial"/>
      <family val="2"/>
      <charset val="204"/>
    </font>
    <font>
      <sz val="12"/>
      <name val="Arial"/>
      <family val="2"/>
      <charset val="204"/>
    </font>
    <font>
      <sz val="13"/>
      <color theme="1"/>
      <name val="Arial"/>
      <family val="2"/>
      <charset val="204"/>
    </font>
    <font>
      <u/>
      <sz val="10"/>
      <color theme="10"/>
      <name val="Arial Cyr"/>
      <charset val="204"/>
    </font>
    <font>
      <b/>
      <sz val="14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08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2" applyFont="1" applyFill="1" applyAlignment="1">
      <alignment horizontal="center" vertical="top" wrapText="1"/>
    </xf>
    <xf numFmtId="0" fontId="7" fillId="2" borderId="0" xfId="2" applyFont="1" applyFill="1" applyAlignment="1">
      <alignment horizontal="center" vertical="top" wrapText="1"/>
    </xf>
    <xf numFmtId="0" fontId="6" fillId="2" borderId="0" xfId="2" applyFont="1" applyFill="1" applyAlignment="1">
      <alignment vertical="top" wrapText="1"/>
    </xf>
    <xf numFmtId="0" fontId="6" fillId="2" borderId="0" xfId="2" applyFont="1" applyFill="1" applyAlignment="1">
      <alignment vertical="top"/>
    </xf>
    <xf numFmtId="0" fontId="8" fillId="2" borderId="0" xfId="2" applyFont="1" applyFill="1" applyAlignment="1">
      <alignment horizontal="left" vertical="top" indent="1"/>
    </xf>
    <xf numFmtId="0" fontId="8" fillId="2" borderId="0" xfId="2" applyFont="1" applyFill="1" applyAlignment="1">
      <alignment horizontal="center" vertical="top" wrapText="1"/>
    </xf>
    <xf numFmtId="49" fontId="10" fillId="2" borderId="0" xfId="2" applyNumberFormat="1" applyFont="1" applyFill="1" applyAlignment="1">
      <alignment horizontal="center"/>
    </xf>
    <xf numFmtId="0" fontId="10" fillId="2" borderId="0" xfId="2" applyFont="1" applyFill="1"/>
    <xf numFmtId="164" fontId="10" fillId="2" borderId="0" xfId="2" applyNumberFormat="1" applyFont="1" applyFill="1" applyAlignment="1">
      <alignment horizontal="center"/>
    </xf>
    <xf numFmtId="164" fontId="5" fillId="2" borderId="0" xfId="2" applyNumberFormat="1" applyFont="1" applyFill="1" applyAlignment="1">
      <alignment horizontal="center"/>
    </xf>
    <xf numFmtId="0" fontId="10" fillId="0" borderId="0" xfId="2" applyFont="1" applyFill="1" applyAlignment="1">
      <alignment vertical="center"/>
    </xf>
    <xf numFmtId="49" fontId="9" fillId="4" borderId="5" xfId="0" applyNumberFormat="1" applyFont="1" applyFill="1" applyBorder="1" applyAlignment="1">
      <alignment horizontal="center" vertical="center" wrapText="1"/>
    </xf>
    <xf numFmtId="49" fontId="8" fillId="4" borderId="6" xfId="2" applyNumberFormat="1" applyFont="1" applyFill="1" applyBorder="1" applyAlignment="1">
      <alignment horizontal="left" vertical="center" indent="1"/>
    </xf>
    <xf numFmtId="4" fontId="8" fillId="4" borderId="7" xfId="2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wrapText="1"/>
    </xf>
    <xf numFmtId="49" fontId="9" fillId="2" borderId="5" xfId="0" applyNumberFormat="1" applyFont="1" applyFill="1" applyBorder="1" applyAlignment="1">
      <alignment horizontal="center" vertical="center" wrapText="1"/>
    </xf>
    <xf numFmtId="49" fontId="8" fillId="2" borderId="7" xfId="2" applyNumberFormat="1" applyFont="1" applyFill="1" applyBorder="1" applyAlignment="1">
      <alignment horizontal="left" vertical="center" indent="1"/>
    </xf>
    <xf numFmtId="4" fontId="8" fillId="2" borderId="9" xfId="2" applyNumberFormat="1" applyFont="1" applyFill="1" applyBorder="1" applyAlignment="1">
      <alignment horizontal="center" vertical="center" wrapText="1"/>
    </xf>
    <xf numFmtId="4" fontId="9" fillId="2" borderId="9" xfId="2" applyNumberFormat="1" applyFont="1" applyFill="1" applyBorder="1" applyAlignment="1">
      <alignment horizontal="center" vertical="center" wrapText="1"/>
    </xf>
    <xf numFmtId="4" fontId="9" fillId="2" borderId="10" xfId="2" applyNumberFormat="1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 wrapText="1"/>
    </xf>
    <xf numFmtId="49" fontId="13" fillId="2" borderId="2" xfId="2" applyNumberFormat="1" applyFont="1" applyFill="1" applyBorder="1" applyAlignment="1">
      <alignment horizontal="left" vertical="center" wrapText="1" indent="2"/>
    </xf>
    <xf numFmtId="49" fontId="13" fillId="2" borderId="11" xfId="2" applyNumberFormat="1" applyFont="1" applyFill="1" applyBorder="1" applyAlignment="1">
      <alignment horizontal="center" vertical="center" wrapText="1"/>
    </xf>
    <xf numFmtId="49" fontId="13" fillId="2" borderId="12" xfId="2" applyNumberFormat="1" applyFont="1" applyFill="1" applyBorder="1" applyAlignment="1">
      <alignment horizontal="left" vertical="center" wrapText="1" indent="2"/>
    </xf>
    <xf numFmtId="4" fontId="13" fillId="2" borderId="12" xfId="2" applyNumberFormat="1" applyFont="1" applyFill="1" applyBorder="1" applyAlignment="1">
      <alignment horizontal="center" vertical="center" wrapText="1"/>
    </xf>
    <xf numFmtId="4" fontId="12" fillId="2" borderId="12" xfId="2" applyNumberFormat="1" applyFont="1" applyFill="1" applyBorder="1" applyAlignment="1">
      <alignment horizontal="center" vertical="center" wrapText="1"/>
    </xf>
    <xf numFmtId="49" fontId="13" fillId="2" borderId="13" xfId="2" applyNumberFormat="1" applyFont="1" applyFill="1" applyBorder="1" applyAlignment="1">
      <alignment horizontal="center" vertical="center" wrapText="1"/>
    </xf>
    <xf numFmtId="49" fontId="13" fillId="2" borderId="14" xfId="2" applyNumberFormat="1" applyFont="1" applyFill="1" applyBorder="1" applyAlignment="1">
      <alignment horizontal="left" vertical="center" wrapText="1" indent="2"/>
    </xf>
    <xf numFmtId="4" fontId="12" fillId="2" borderId="15" xfId="2" applyNumberFormat="1" applyFont="1" applyFill="1" applyBorder="1" applyAlignment="1">
      <alignment horizontal="center" vertical="center" wrapText="1"/>
    </xf>
    <xf numFmtId="49" fontId="13" fillId="2" borderId="16" xfId="2" applyNumberFormat="1" applyFont="1" applyFill="1" applyBorder="1" applyAlignment="1">
      <alignment horizontal="center" vertical="center" wrapText="1"/>
    </xf>
    <xf numFmtId="49" fontId="13" fillId="2" borderId="17" xfId="2" applyNumberFormat="1" applyFont="1" applyFill="1" applyBorder="1" applyAlignment="1">
      <alignment horizontal="left" vertical="center" wrapText="1" indent="2"/>
    </xf>
    <xf numFmtId="4" fontId="13" fillId="2" borderId="18" xfId="2" applyNumberFormat="1" applyFont="1" applyFill="1" applyBorder="1" applyAlignment="1">
      <alignment horizontal="center" vertical="center" wrapText="1"/>
    </xf>
    <xf numFmtId="4" fontId="12" fillId="2" borderId="18" xfId="2" applyNumberFormat="1" applyFont="1" applyFill="1" applyBorder="1" applyAlignment="1">
      <alignment horizontal="center" vertical="center" wrapText="1"/>
    </xf>
    <xf numFmtId="49" fontId="8" fillId="2" borderId="5" xfId="2" applyNumberFormat="1" applyFont="1" applyFill="1" applyBorder="1" applyAlignment="1">
      <alignment horizontal="center" vertical="center" wrapText="1"/>
    </xf>
    <xf numFmtId="49" fontId="8" fillId="2" borderId="9" xfId="2" applyNumberFormat="1" applyFont="1" applyFill="1" applyBorder="1" applyAlignment="1">
      <alignment horizontal="left" vertical="center" wrapText="1" indent="1"/>
    </xf>
    <xf numFmtId="49" fontId="13" fillId="2" borderId="20" xfId="2" applyNumberFormat="1" applyFont="1" applyFill="1" applyBorder="1" applyAlignment="1">
      <alignment horizontal="center" vertical="center" wrapText="1"/>
    </xf>
    <xf numFmtId="49" fontId="13" fillId="2" borderId="21" xfId="2" applyNumberFormat="1" applyFont="1" applyFill="1" applyBorder="1" applyAlignment="1">
      <alignment horizontal="left" vertical="center" wrapText="1" indent="2"/>
    </xf>
    <xf numFmtId="49" fontId="13" fillId="2" borderId="22" xfId="2" applyNumberFormat="1" applyFont="1" applyFill="1" applyBorder="1" applyAlignment="1">
      <alignment horizontal="center" vertical="center" wrapText="1"/>
    </xf>
    <xf numFmtId="49" fontId="13" fillId="2" borderId="3" xfId="2" applyNumberFormat="1" applyFont="1" applyFill="1" applyBorder="1" applyAlignment="1">
      <alignment horizontal="center" vertical="center" wrapText="1"/>
    </xf>
    <xf numFmtId="49" fontId="13" fillId="2" borderId="4" xfId="2" applyNumberFormat="1" applyFont="1" applyFill="1" applyBorder="1" applyAlignment="1">
      <alignment horizontal="left" vertical="center" wrapText="1" indent="2"/>
    </xf>
    <xf numFmtId="0" fontId="6" fillId="2" borderId="0" xfId="2" applyFont="1" applyFill="1" applyAlignment="1">
      <alignment horizontal="center" vertical="top" wrapText="1"/>
    </xf>
    <xf numFmtId="4" fontId="12" fillId="0" borderId="0" xfId="0" applyNumberFormat="1" applyFont="1" applyFill="1" applyAlignment="1">
      <alignment horizontal="center" wrapText="1"/>
    </xf>
    <xf numFmtId="49" fontId="13" fillId="2" borderId="0" xfId="2" applyNumberFormat="1" applyFont="1" applyFill="1" applyBorder="1" applyAlignment="1">
      <alignment horizontal="center" vertical="center" wrapText="1"/>
    </xf>
    <xf numFmtId="49" fontId="13" fillId="2" borderId="0" xfId="2" applyNumberFormat="1" applyFont="1" applyFill="1" applyBorder="1" applyAlignment="1">
      <alignment horizontal="left" vertical="center" wrapText="1" indent="2"/>
    </xf>
    <xf numFmtId="4" fontId="13" fillId="2" borderId="0" xfId="2" applyNumberFormat="1" applyFont="1" applyFill="1" applyBorder="1" applyAlignment="1">
      <alignment horizontal="center" vertical="center" wrapText="1"/>
    </xf>
    <xf numFmtId="4" fontId="12" fillId="2" borderId="0" xfId="2" applyNumberFormat="1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vertical="center" wrapText="1"/>
    </xf>
    <xf numFmtId="0" fontId="11" fillId="3" borderId="9" xfId="2" applyFont="1" applyFill="1" applyBorder="1" applyAlignment="1">
      <alignment vertical="center" wrapText="1"/>
    </xf>
    <xf numFmtId="165" fontId="11" fillId="3" borderId="9" xfId="2" applyNumberFormat="1" applyFont="1" applyFill="1" applyBorder="1" applyAlignment="1">
      <alignment horizontal="center" vertical="center" wrapText="1"/>
    </xf>
    <xf numFmtId="165" fontId="11" fillId="3" borderId="10" xfId="2" applyNumberFormat="1" applyFont="1" applyFill="1" applyBorder="1" applyAlignment="1">
      <alignment horizontal="center" vertical="center" wrapText="1"/>
    </xf>
    <xf numFmtId="4" fontId="13" fillId="2" borderId="15" xfId="2" applyNumberFormat="1" applyFont="1" applyFill="1" applyBorder="1" applyAlignment="1">
      <alignment horizontal="center" vertical="center" wrapText="1"/>
    </xf>
    <xf numFmtId="4" fontId="13" fillId="2" borderId="19" xfId="2" applyNumberFormat="1" applyFont="1" applyFill="1" applyBorder="1" applyAlignment="1">
      <alignment horizontal="center" vertical="center" wrapText="1"/>
    </xf>
    <xf numFmtId="4" fontId="8" fillId="2" borderId="10" xfId="2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6" fillId="0" borderId="0" xfId="1" applyFont="1" applyFill="1" applyAlignment="1"/>
    <xf numFmtId="0" fontId="6" fillId="0" borderId="0" xfId="2" applyFont="1" applyFill="1" applyAlignment="1">
      <alignment vertical="top"/>
    </xf>
    <xf numFmtId="0" fontId="10" fillId="0" borderId="0" xfId="2" applyFont="1" applyFill="1"/>
    <xf numFmtId="4" fontId="12" fillId="0" borderId="0" xfId="0" applyNumberFormat="1" applyFont="1" applyFill="1" applyAlignment="1">
      <alignment wrapText="1"/>
    </xf>
    <xf numFmtId="0" fontId="14" fillId="0" borderId="0" xfId="2" applyFont="1" applyFill="1" applyAlignment="1">
      <alignment vertical="center"/>
    </xf>
    <xf numFmtId="4" fontId="9" fillId="2" borderId="25" xfId="2" applyNumberFormat="1" applyFont="1" applyFill="1" applyBorder="1" applyAlignment="1">
      <alignment horizontal="center" vertical="center" wrapText="1"/>
    </xf>
    <xf numFmtId="4" fontId="13" fillId="2" borderId="28" xfId="2" applyNumberFormat="1" applyFont="1" applyFill="1" applyBorder="1" applyAlignment="1">
      <alignment horizontal="center" vertical="center" wrapText="1"/>
    </xf>
    <xf numFmtId="4" fontId="13" fillId="2" borderId="32" xfId="2" applyNumberFormat="1" applyFont="1" applyFill="1" applyBorder="1" applyAlignment="1">
      <alignment horizontal="center" vertical="center" wrapText="1"/>
    </xf>
    <xf numFmtId="4" fontId="8" fillId="2" borderId="25" xfId="2" applyNumberFormat="1" applyFont="1" applyFill="1" applyBorder="1" applyAlignment="1">
      <alignment horizontal="center" vertical="center" wrapText="1"/>
    </xf>
    <xf numFmtId="4" fontId="12" fillId="2" borderId="28" xfId="2" applyNumberFormat="1" applyFont="1" applyFill="1" applyBorder="1" applyAlignment="1">
      <alignment horizontal="center" vertical="center" wrapText="1"/>
    </xf>
    <xf numFmtId="49" fontId="15" fillId="2" borderId="0" xfId="2" applyNumberFormat="1" applyFont="1" applyFill="1" applyAlignment="1"/>
    <xf numFmtId="49" fontId="15" fillId="2" borderId="0" xfId="2" applyNumberFormat="1" applyFont="1" applyFill="1" applyAlignment="1">
      <alignment vertical="top" wrapText="1"/>
    </xf>
    <xf numFmtId="4" fontId="8" fillId="4" borderId="7" xfId="2" applyNumberFormat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 wrapText="1"/>
    </xf>
    <xf numFmtId="0" fontId="17" fillId="0" borderId="0" xfId="0" applyFont="1"/>
    <xf numFmtId="4" fontId="8" fillId="4" borderId="7" xfId="2" applyNumberFormat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8" fillId="5" borderId="26" xfId="0" applyFont="1" applyFill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49" fontId="8" fillId="2" borderId="7" xfId="2" applyNumberFormat="1" applyFont="1" applyFill="1" applyBorder="1" applyAlignment="1">
      <alignment horizontal="left" vertical="center" wrapText="1" indent="1"/>
    </xf>
    <xf numFmtId="0" fontId="6" fillId="2" borderId="0" xfId="2" applyFont="1" applyFill="1" applyAlignment="1">
      <alignment horizontal="center" vertical="top" wrapText="1"/>
    </xf>
    <xf numFmtId="49" fontId="9" fillId="2" borderId="26" xfId="0" applyNumberFormat="1" applyFont="1" applyFill="1" applyBorder="1" applyAlignment="1">
      <alignment horizontal="center" vertical="center" wrapText="1"/>
    </xf>
    <xf numFmtId="49" fontId="13" fillId="2" borderId="40" xfId="2" applyNumberFormat="1" applyFont="1" applyFill="1" applyBorder="1" applyAlignment="1">
      <alignment horizontal="center" vertical="center" wrapText="1"/>
    </xf>
    <xf numFmtId="49" fontId="13" fillId="2" borderId="18" xfId="2" applyNumberFormat="1" applyFont="1" applyFill="1" applyBorder="1" applyAlignment="1">
      <alignment horizontal="center" vertical="center" wrapText="1"/>
    </xf>
    <xf numFmtId="49" fontId="9" fillId="2" borderId="22" xfId="0" applyNumberFormat="1" applyFont="1" applyFill="1" applyBorder="1" applyAlignment="1">
      <alignment horizontal="center" vertical="center" wrapText="1"/>
    </xf>
    <xf numFmtId="49" fontId="13" fillId="2" borderId="43" xfId="2" applyNumberFormat="1" applyFont="1" applyFill="1" applyBorder="1" applyAlignment="1">
      <alignment horizontal="center" vertical="center" wrapText="1"/>
    </xf>
    <xf numFmtId="49" fontId="9" fillId="2" borderId="20" xfId="0" applyNumberFormat="1" applyFont="1" applyFill="1" applyBorder="1" applyAlignment="1">
      <alignment horizontal="center" vertical="center" wrapText="1"/>
    </xf>
    <xf numFmtId="49" fontId="8" fillId="2" borderId="26" xfId="2" applyNumberFormat="1" applyFont="1" applyFill="1" applyBorder="1" applyAlignment="1">
      <alignment horizontal="left" vertical="center" wrapText="1" indent="2"/>
    </xf>
    <xf numFmtId="49" fontId="8" fillId="2" borderId="18" xfId="2" applyNumberFormat="1" applyFont="1" applyFill="1" applyBorder="1" applyAlignment="1">
      <alignment horizontal="left" vertical="center" wrapText="1" indent="2"/>
    </xf>
    <xf numFmtId="49" fontId="8" fillId="2" borderId="21" xfId="2" applyNumberFormat="1" applyFont="1" applyFill="1" applyBorder="1" applyAlignment="1">
      <alignment horizontal="left" vertical="center" wrapText="1" indent="2"/>
    </xf>
    <xf numFmtId="49" fontId="13" fillId="2" borderId="14" xfId="2" applyNumberFormat="1" applyFont="1" applyFill="1" applyBorder="1" applyAlignment="1">
      <alignment horizontal="left" vertical="center" wrapText="1" indent="3"/>
    </xf>
    <xf numFmtId="49" fontId="13" fillId="2" borderId="12" xfId="2" applyNumberFormat="1" applyFont="1" applyFill="1" applyBorder="1" applyAlignment="1">
      <alignment horizontal="left" vertical="center" wrapText="1" indent="3"/>
    </xf>
    <xf numFmtId="49" fontId="13" fillId="2" borderId="18" xfId="2" applyNumberFormat="1" applyFont="1" applyFill="1" applyBorder="1" applyAlignment="1">
      <alignment horizontal="left" vertical="center" wrapText="1" indent="3"/>
    </xf>
    <xf numFmtId="49" fontId="8" fillId="2" borderId="17" xfId="2" applyNumberFormat="1" applyFont="1" applyFill="1" applyBorder="1" applyAlignment="1">
      <alignment horizontal="left" vertical="center" wrapText="1" indent="2"/>
    </xf>
    <xf numFmtId="49" fontId="8" fillId="2" borderId="4" xfId="2" applyNumberFormat="1" applyFont="1" applyFill="1" applyBorder="1" applyAlignment="1">
      <alignment horizontal="left" vertical="center" wrapText="1" indent="2"/>
    </xf>
    <xf numFmtId="0" fontId="19" fillId="0" borderId="12" xfId="0" applyFont="1" applyFill="1" applyBorder="1"/>
    <xf numFmtId="49" fontId="8" fillId="2" borderId="0" xfId="2" applyNumberFormat="1" applyFont="1" applyFill="1" applyBorder="1" applyAlignment="1">
      <alignment horizontal="left" vertical="center" wrapText="1" indent="2"/>
    </xf>
    <xf numFmtId="4" fontId="8" fillId="2" borderId="0" xfId="2" applyNumberFormat="1" applyFont="1" applyFill="1" applyBorder="1" applyAlignment="1">
      <alignment horizontal="center" vertical="center" wrapText="1"/>
    </xf>
    <xf numFmtId="4" fontId="9" fillId="2" borderId="0" xfId="2" applyNumberFormat="1" applyFont="1" applyFill="1" applyBorder="1" applyAlignment="1">
      <alignment horizontal="center" vertical="center" wrapText="1"/>
    </xf>
    <xf numFmtId="170" fontId="12" fillId="2" borderId="17" xfId="2" applyNumberFormat="1" applyFont="1" applyFill="1" applyBorder="1" applyAlignment="1">
      <alignment horizontal="center" vertical="center" wrapText="1"/>
    </xf>
    <xf numFmtId="3" fontId="12" fillId="2" borderId="12" xfId="2" applyNumberFormat="1" applyFont="1" applyFill="1" applyBorder="1" applyAlignment="1">
      <alignment horizontal="center" vertical="center" wrapText="1"/>
    </xf>
    <xf numFmtId="3" fontId="12" fillId="2" borderId="17" xfId="2" applyNumberFormat="1" applyFont="1" applyFill="1" applyBorder="1" applyAlignment="1">
      <alignment horizontal="center" vertical="center" wrapText="1"/>
    </xf>
    <xf numFmtId="3" fontId="13" fillId="2" borderId="14" xfId="2" applyNumberFormat="1" applyFont="1" applyFill="1" applyBorder="1" applyAlignment="1">
      <alignment horizontal="center" vertical="center" wrapText="1"/>
    </xf>
    <xf numFmtId="3" fontId="12" fillId="2" borderId="14" xfId="2" applyNumberFormat="1" applyFont="1" applyFill="1" applyBorder="1" applyAlignment="1">
      <alignment horizontal="center" vertical="center" wrapText="1"/>
    </xf>
    <xf numFmtId="3" fontId="12" fillId="2" borderId="26" xfId="2" applyNumberFormat="1" applyFont="1" applyFill="1" applyBorder="1" applyAlignment="1">
      <alignment horizontal="center" vertical="center" wrapText="1"/>
    </xf>
    <xf numFmtId="168" fontId="12" fillId="2" borderId="37" xfId="2" applyNumberFormat="1" applyFont="1" applyFill="1" applyBorder="1" applyAlignment="1">
      <alignment horizontal="right" vertical="center"/>
    </xf>
    <xf numFmtId="3" fontId="12" fillId="2" borderId="37" xfId="2" applyNumberFormat="1" applyFont="1" applyFill="1" applyBorder="1" applyAlignment="1">
      <alignment horizontal="right" vertical="center"/>
    </xf>
    <xf numFmtId="170" fontId="13" fillId="2" borderId="18" xfId="2" applyNumberFormat="1" applyFont="1" applyFill="1" applyBorder="1" applyAlignment="1">
      <alignment horizontal="center" vertical="center" wrapText="1"/>
    </xf>
    <xf numFmtId="170" fontId="12" fillId="2" borderId="18" xfId="2" applyNumberFormat="1" applyFont="1" applyFill="1" applyBorder="1" applyAlignment="1">
      <alignment horizontal="center" vertical="center" wrapText="1"/>
    </xf>
    <xf numFmtId="170" fontId="13" fillId="2" borderId="32" xfId="2" applyNumberFormat="1" applyFont="1" applyFill="1" applyBorder="1" applyAlignment="1">
      <alignment horizontal="center" vertical="center" wrapText="1"/>
    </xf>
    <xf numFmtId="170" fontId="13" fillId="2" borderId="19" xfId="2" applyNumberFormat="1" applyFont="1" applyFill="1" applyBorder="1" applyAlignment="1">
      <alignment horizontal="center" vertical="center" wrapText="1"/>
    </xf>
    <xf numFmtId="170" fontId="13" fillId="2" borderId="23" xfId="2" applyNumberFormat="1" applyFont="1" applyFill="1" applyBorder="1" applyAlignment="1">
      <alignment horizontal="center" vertical="center" wrapText="1"/>
    </xf>
    <xf numFmtId="170" fontId="12" fillId="2" borderId="23" xfId="2" applyNumberFormat="1" applyFont="1" applyFill="1" applyBorder="1" applyAlignment="1">
      <alignment horizontal="center" vertical="center" wrapText="1"/>
    </xf>
    <xf numFmtId="170" fontId="12" fillId="2" borderId="34" xfId="2" applyNumberFormat="1" applyFont="1" applyFill="1" applyBorder="1" applyAlignment="1">
      <alignment horizontal="center" vertical="center" wrapText="1"/>
    </xf>
    <xf numFmtId="170" fontId="12" fillId="2" borderId="24" xfId="2" applyNumberFormat="1" applyFont="1" applyFill="1" applyBorder="1" applyAlignment="1">
      <alignment horizontal="center" vertical="center" wrapText="1"/>
    </xf>
    <xf numFmtId="170" fontId="13" fillId="2" borderId="12" xfId="2" applyNumberFormat="1" applyFont="1" applyFill="1" applyBorder="1" applyAlignment="1">
      <alignment horizontal="center" vertical="center" wrapText="1"/>
    </xf>
    <xf numFmtId="170" fontId="12" fillId="2" borderId="12" xfId="2" applyNumberFormat="1" applyFont="1" applyFill="1" applyBorder="1" applyAlignment="1">
      <alignment horizontal="center" vertical="center" wrapText="1"/>
    </xf>
    <xf numFmtId="170" fontId="13" fillId="2" borderId="28" xfId="2" applyNumberFormat="1" applyFont="1" applyFill="1" applyBorder="1" applyAlignment="1">
      <alignment horizontal="center" vertical="center" wrapText="1"/>
    </xf>
    <xf numFmtId="170" fontId="13" fillId="2" borderId="15" xfId="2" applyNumberFormat="1" applyFont="1" applyFill="1" applyBorder="1" applyAlignment="1">
      <alignment horizontal="center" vertical="center" wrapText="1"/>
    </xf>
    <xf numFmtId="3" fontId="8" fillId="2" borderId="12" xfId="2" applyNumberFormat="1" applyFont="1" applyFill="1" applyBorder="1" applyAlignment="1">
      <alignment horizontal="center" vertical="center" wrapText="1"/>
    </xf>
    <xf numFmtId="3" fontId="8" fillId="2" borderId="18" xfId="2" applyNumberFormat="1" applyFont="1" applyFill="1" applyBorder="1" applyAlignment="1">
      <alignment horizontal="center" vertical="center" wrapText="1"/>
    </xf>
    <xf numFmtId="3" fontId="9" fillId="2" borderId="18" xfId="2" applyNumberFormat="1" applyFont="1" applyFill="1" applyBorder="1" applyAlignment="1">
      <alignment horizontal="center" vertical="center" wrapText="1"/>
    </xf>
    <xf numFmtId="170" fontId="12" fillId="2" borderId="28" xfId="2" applyNumberFormat="1" applyFont="1" applyFill="1" applyBorder="1" applyAlignment="1">
      <alignment horizontal="center" vertical="center" wrapText="1"/>
    </xf>
    <xf numFmtId="170" fontId="12" fillId="2" borderId="15" xfId="2" applyNumberFormat="1" applyFont="1" applyFill="1" applyBorder="1" applyAlignment="1">
      <alignment horizontal="center" vertical="center" wrapText="1"/>
    </xf>
    <xf numFmtId="3" fontId="8" fillId="2" borderId="17" xfId="2" applyNumberFormat="1" applyFont="1" applyFill="1" applyBorder="1" applyAlignment="1">
      <alignment horizontal="center" vertical="center" wrapText="1"/>
    </xf>
    <xf numFmtId="3" fontId="9" fillId="2" borderId="17" xfId="2" applyNumberFormat="1" applyFont="1" applyFill="1" applyBorder="1" applyAlignment="1">
      <alignment horizontal="center" vertical="center" wrapText="1"/>
    </xf>
    <xf numFmtId="3" fontId="8" fillId="2" borderId="24" xfId="2" applyNumberFormat="1" applyFont="1" applyFill="1" applyBorder="1" applyAlignment="1">
      <alignment horizontal="center" vertical="center" wrapText="1"/>
    </xf>
    <xf numFmtId="3" fontId="9" fillId="2" borderId="12" xfId="2" applyNumberFormat="1" applyFont="1" applyFill="1" applyBorder="1" applyAlignment="1">
      <alignment horizontal="center" vertical="center" wrapText="1"/>
    </xf>
    <xf numFmtId="3" fontId="8" fillId="2" borderId="15" xfId="2" applyNumberFormat="1" applyFont="1" applyFill="1" applyBorder="1" applyAlignment="1">
      <alignment horizontal="center" vertical="center" wrapText="1"/>
    </xf>
    <xf numFmtId="3" fontId="8" fillId="2" borderId="14" xfId="2" applyNumberFormat="1" applyFont="1" applyFill="1" applyBorder="1" applyAlignment="1">
      <alignment horizontal="center" vertical="center" wrapText="1"/>
    </xf>
    <xf numFmtId="3" fontId="8" fillId="2" borderId="4" xfId="2" applyNumberFormat="1" applyFont="1" applyFill="1" applyBorder="1" applyAlignment="1">
      <alignment horizontal="center" vertical="center" wrapText="1"/>
    </xf>
    <xf numFmtId="3" fontId="9" fillId="2" borderId="4" xfId="2" applyNumberFormat="1" applyFont="1" applyFill="1" applyBorder="1" applyAlignment="1">
      <alignment horizontal="center" vertical="center" wrapText="1"/>
    </xf>
    <xf numFmtId="3" fontId="8" fillId="2" borderId="35" xfId="2" applyNumberFormat="1" applyFont="1" applyFill="1" applyBorder="1" applyAlignment="1">
      <alignment horizontal="center" vertical="center" wrapText="1"/>
    </xf>
    <xf numFmtId="3" fontId="8" fillId="2" borderId="36" xfId="2" applyNumberFormat="1" applyFont="1" applyFill="1" applyBorder="1" applyAlignment="1">
      <alignment horizontal="center" vertical="center" wrapText="1"/>
    </xf>
    <xf numFmtId="3" fontId="8" fillId="2" borderId="41" xfId="2" applyNumberFormat="1" applyFont="1" applyFill="1" applyBorder="1" applyAlignment="1">
      <alignment horizontal="center" vertical="center" wrapText="1"/>
    </xf>
    <xf numFmtId="3" fontId="8" fillId="2" borderId="42" xfId="2" applyNumberFormat="1" applyFont="1" applyFill="1" applyBorder="1" applyAlignment="1">
      <alignment horizontal="center" vertical="center" wrapText="1"/>
    </xf>
    <xf numFmtId="4" fontId="8" fillId="4" borderId="7" xfId="2" applyNumberFormat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top" wrapText="1"/>
    </xf>
    <xf numFmtId="3" fontId="8" fillId="2" borderId="9" xfId="2" applyNumberFormat="1" applyFont="1" applyFill="1" applyBorder="1" applyAlignment="1">
      <alignment horizontal="center" vertical="center" wrapText="1"/>
    </xf>
    <xf numFmtId="3" fontId="9" fillId="2" borderId="9" xfId="2" applyNumberFormat="1" applyFont="1" applyFill="1" applyBorder="1" applyAlignment="1">
      <alignment horizontal="center" vertical="center" wrapText="1"/>
    </xf>
    <xf numFmtId="3" fontId="9" fillId="2" borderId="25" xfId="2" applyNumberFormat="1" applyFont="1" applyFill="1" applyBorder="1" applyAlignment="1">
      <alignment horizontal="center" vertical="center" wrapText="1"/>
    </xf>
    <xf numFmtId="3" fontId="9" fillId="2" borderId="10" xfId="2" applyNumberFormat="1" applyFont="1" applyFill="1" applyBorder="1" applyAlignment="1">
      <alignment horizontal="center" vertical="center" wrapText="1"/>
    </xf>
    <xf numFmtId="3" fontId="13" fillId="2" borderId="2" xfId="2" applyNumberFormat="1" applyFont="1" applyFill="1" applyBorder="1" applyAlignment="1">
      <alignment horizontal="center" vertical="center" wrapText="1"/>
    </xf>
    <xf numFmtId="3" fontId="12" fillId="2" borderId="2" xfId="2" applyNumberFormat="1" applyFont="1" applyFill="1" applyBorder="1" applyAlignment="1">
      <alignment horizontal="center" vertical="center" wrapText="1"/>
    </xf>
    <xf numFmtId="3" fontId="13" fillId="2" borderId="27" xfId="2" applyNumberFormat="1" applyFont="1" applyFill="1" applyBorder="1" applyAlignment="1">
      <alignment horizontal="center" vertical="center" wrapText="1"/>
    </xf>
    <xf numFmtId="3" fontId="13" fillId="2" borderId="31" xfId="2" applyNumberFormat="1" applyFont="1" applyFill="1" applyBorder="1" applyAlignment="1">
      <alignment horizontal="center" vertical="center" wrapText="1"/>
    </xf>
    <xf numFmtId="3" fontId="13" fillId="2" borderId="12" xfId="2" applyNumberFormat="1" applyFont="1" applyFill="1" applyBorder="1" applyAlignment="1">
      <alignment horizontal="center" vertical="center" wrapText="1"/>
    </xf>
    <xf numFmtId="3" fontId="13" fillId="2" borderId="28" xfId="2" applyNumberFormat="1" applyFont="1" applyFill="1" applyBorder="1" applyAlignment="1">
      <alignment horizontal="center" vertical="center" wrapText="1"/>
    </xf>
    <xf numFmtId="3" fontId="13" fillId="2" borderId="15" xfId="2" applyNumberFormat="1" applyFont="1" applyFill="1" applyBorder="1" applyAlignment="1">
      <alignment horizontal="center" vertical="center" wrapText="1"/>
    </xf>
    <xf numFmtId="3" fontId="8" fillId="2" borderId="25" xfId="2" applyNumberFormat="1" applyFont="1" applyFill="1" applyBorder="1" applyAlignment="1">
      <alignment horizontal="center" vertical="center" wrapText="1"/>
    </xf>
    <xf numFmtId="3" fontId="8" fillId="2" borderId="10" xfId="2" applyNumberFormat="1" applyFont="1" applyFill="1" applyBorder="1" applyAlignment="1">
      <alignment horizontal="center" vertical="center" wrapText="1"/>
    </xf>
    <xf numFmtId="3" fontId="13" fillId="2" borderId="21" xfId="2" applyNumberFormat="1" applyFont="1" applyFill="1" applyBorder="1" applyAlignment="1">
      <alignment horizontal="center" vertical="center" wrapText="1"/>
    </xf>
    <xf numFmtId="3" fontId="12" fillId="2" borderId="21" xfId="2" applyNumberFormat="1" applyFont="1" applyFill="1" applyBorder="1" applyAlignment="1">
      <alignment horizontal="center" vertical="center" wrapText="1"/>
    </xf>
    <xf numFmtId="3" fontId="12" fillId="2" borderId="33" xfId="2" applyNumberFormat="1" applyFont="1" applyFill="1" applyBorder="1" applyAlignment="1">
      <alignment horizontal="center" vertical="center" wrapText="1"/>
    </xf>
    <xf numFmtId="3" fontId="12" fillId="2" borderId="29" xfId="2" applyNumberFormat="1" applyFont="1" applyFill="1" applyBorder="1" applyAlignment="1">
      <alignment horizontal="center" vertical="center" wrapText="1"/>
    </xf>
    <xf numFmtId="3" fontId="8" fillId="2" borderId="26" xfId="2" applyNumberFormat="1" applyFont="1" applyFill="1" applyBorder="1" applyAlignment="1">
      <alignment horizontal="center" vertical="center" wrapText="1"/>
    </xf>
    <xf numFmtId="3" fontId="9" fillId="2" borderId="26" xfId="2" applyNumberFormat="1" applyFont="1" applyFill="1" applyBorder="1" applyAlignment="1">
      <alignment horizontal="center" vertical="center" wrapText="1"/>
    </xf>
    <xf numFmtId="3" fontId="13" fillId="2" borderId="35" xfId="2" applyNumberFormat="1" applyFont="1" applyFill="1" applyBorder="1" applyAlignment="1">
      <alignment horizontal="center" vertical="center" wrapText="1"/>
    </xf>
    <xf numFmtId="3" fontId="13" fillId="2" borderId="36" xfId="2" applyNumberFormat="1" applyFont="1" applyFill="1" applyBorder="1" applyAlignment="1">
      <alignment horizontal="center" vertical="center" wrapText="1"/>
    </xf>
    <xf numFmtId="3" fontId="8" fillId="2" borderId="21" xfId="2" applyNumberFormat="1" applyFont="1" applyFill="1" applyBorder="1" applyAlignment="1">
      <alignment horizontal="center" vertical="center" wrapText="1"/>
    </xf>
    <xf numFmtId="3" fontId="9" fillId="2" borderId="21" xfId="2" applyNumberFormat="1" applyFont="1" applyFill="1" applyBorder="1" applyAlignment="1">
      <alignment horizontal="center" vertical="center" wrapText="1"/>
    </xf>
    <xf numFmtId="3" fontId="9" fillId="2" borderId="29" xfId="2" applyNumberFormat="1" applyFont="1" applyFill="1" applyBorder="1" applyAlignment="1">
      <alignment horizontal="center" vertical="center" wrapText="1"/>
    </xf>
    <xf numFmtId="3" fontId="9" fillId="2" borderId="30" xfId="2" applyNumberFormat="1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wrapText="1"/>
    </xf>
    <xf numFmtId="171" fontId="9" fillId="0" borderId="0" xfId="0" applyNumberFormat="1" applyFont="1" applyFill="1" applyAlignment="1">
      <alignment wrapText="1"/>
    </xf>
    <xf numFmtId="171" fontId="10" fillId="0" borderId="0" xfId="2" applyNumberFormat="1" applyFont="1" applyFill="1" applyAlignment="1">
      <alignment vertical="center"/>
    </xf>
    <xf numFmtId="0" fontId="16" fillId="2" borderId="0" xfId="1" applyFont="1" applyFill="1" applyAlignment="1">
      <alignment horizontal="center" vertical="center" wrapText="1"/>
    </xf>
    <xf numFmtId="0" fontId="21" fillId="0" borderId="12" xfId="8" applyFill="1" applyBorder="1" applyAlignment="1">
      <alignment horizontal="center"/>
    </xf>
    <xf numFmtId="0" fontId="21" fillId="2" borderId="0" xfId="8" applyFill="1" applyAlignment="1">
      <alignment vertical="center"/>
    </xf>
    <xf numFmtId="0" fontId="22" fillId="0" borderId="0" xfId="0" applyFont="1" applyAlignment="1">
      <alignment horizontal="center" wrapText="1"/>
    </xf>
    <xf numFmtId="0" fontId="16" fillId="2" borderId="0" xfId="1" applyFont="1" applyFill="1" applyAlignment="1">
      <alignment vertical="center" wrapText="1"/>
    </xf>
    <xf numFmtId="0" fontId="0" fillId="0" borderId="0" xfId="0" quotePrefix="1" applyAlignment="1">
      <alignment vertical="center" wrapText="1"/>
    </xf>
    <xf numFmtId="4" fontId="8" fillId="4" borderId="7" xfId="2" applyNumberFormat="1" applyFont="1" applyFill="1" applyBorder="1" applyAlignment="1">
      <alignment horizontal="center" vertical="center" wrapText="1"/>
    </xf>
    <xf numFmtId="3" fontId="12" fillId="2" borderId="4" xfId="2" applyNumberFormat="1" applyFont="1" applyFill="1" applyBorder="1" applyAlignment="1">
      <alignment horizontal="center" vertical="center" wrapText="1"/>
    </xf>
    <xf numFmtId="170" fontId="13" fillId="2" borderId="44" xfId="2" applyNumberFormat="1" applyFont="1" applyFill="1" applyBorder="1" applyAlignment="1">
      <alignment horizontal="center" vertical="center" wrapText="1"/>
    </xf>
    <xf numFmtId="170" fontId="12" fillId="2" borderId="44" xfId="2" applyNumberFormat="1" applyFont="1" applyFill="1" applyBorder="1" applyAlignment="1">
      <alignment horizontal="center" vertical="center" wrapText="1"/>
    </xf>
    <xf numFmtId="170" fontId="12" fillId="2" borderId="45" xfId="2" applyNumberFormat="1" applyFont="1" applyFill="1" applyBorder="1" applyAlignment="1">
      <alignment horizontal="center" vertical="center" wrapText="1"/>
    </xf>
    <xf numFmtId="170" fontId="12" fillId="2" borderId="19" xfId="2" applyNumberFormat="1" applyFont="1" applyFill="1" applyBorder="1" applyAlignment="1">
      <alignment horizontal="center" vertical="center" wrapText="1"/>
    </xf>
    <xf numFmtId="49" fontId="13" fillId="2" borderId="32" xfId="2" applyNumberFormat="1" applyFont="1" applyFill="1" applyBorder="1" applyAlignment="1">
      <alignment horizontal="center" vertical="center" wrapText="1"/>
    </xf>
    <xf numFmtId="3" fontId="13" fillId="2" borderId="18" xfId="2" applyNumberFormat="1" applyFont="1" applyFill="1" applyBorder="1" applyAlignment="1">
      <alignment horizontal="center" vertical="center" wrapText="1"/>
    </xf>
    <xf numFmtId="3" fontId="12" fillId="2" borderId="18" xfId="2" applyNumberFormat="1" applyFont="1" applyFill="1" applyBorder="1" applyAlignment="1">
      <alignment horizontal="center" vertical="center" wrapText="1"/>
    </xf>
    <xf numFmtId="3" fontId="13" fillId="2" borderId="32" xfId="2" applyNumberFormat="1" applyFont="1" applyFill="1" applyBorder="1" applyAlignment="1">
      <alignment horizontal="center" vertical="center" wrapText="1"/>
    </xf>
    <xf numFmtId="3" fontId="13" fillId="2" borderId="44" xfId="2" applyNumberFormat="1" applyFont="1" applyFill="1" applyBorder="1" applyAlignment="1">
      <alignment horizontal="center" vertical="center" wrapText="1"/>
    </xf>
    <xf numFmtId="3" fontId="8" fillId="2" borderId="32" xfId="2" applyNumberFormat="1" applyFont="1" applyFill="1" applyBorder="1" applyAlignment="1">
      <alignment horizontal="center" vertical="center" wrapText="1"/>
    </xf>
    <xf numFmtId="3" fontId="8" fillId="2" borderId="19" xfId="2" applyNumberFormat="1" applyFont="1" applyFill="1" applyBorder="1" applyAlignment="1">
      <alignment horizontal="center" vertical="center" wrapText="1"/>
    </xf>
    <xf numFmtId="3" fontId="13" fillId="2" borderId="19" xfId="2" applyNumberFormat="1" applyFont="1" applyFill="1" applyBorder="1" applyAlignment="1">
      <alignment horizontal="center" vertical="center" wrapText="1"/>
    </xf>
    <xf numFmtId="49" fontId="13" fillId="2" borderId="17" xfId="2" applyNumberFormat="1" applyFont="1" applyFill="1" applyBorder="1" applyAlignment="1">
      <alignment horizontal="left" vertical="center" wrapText="1" indent="3"/>
    </xf>
    <xf numFmtId="3" fontId="13" fillId="2" borderId="17" xfId="2" applyNumberFormat="1" applyFont="1" applyFill="1" applyBorder="1" applyAlignment="1">
      <alignment horizontal="center" vertical="center" wrapText="1"/>
    </xf>
    <xf numFmtId="3" fontId="13" fillId="2" borderId="24" xfId="2" applyNumberFormat="1" applyFont="1" applyFill="1" applyBorder="1" applyAlignment="1">
      <alignment horizontal="center" vertical="center" wrapText="1"/>
    </xf>
    <xf numFmtId="0" fontId="10" fillId="2" borderId="46" xfId="2" applyFont="1" applyFill="1" applyBorder="1"/>
    <xf numFmtId="49" fontId="13" fillId="2" borderId="46" xfId="2" applyNumberFormat="1" applyFont="1" applyFill="1" applyBorder="1" applyAlignment="1">
      <alignment horizontal="left" vertical="center" wrapText="1" indent="2"/>
    </xf>
    <xf numFmtId="49" fontId="8" fillId="2" borderId="14" xfId="2" applyNumberFormat="1" applyFont="1" applyFill="1" applyBorder="1" applyAlignment="1">
      <alignment horizontal="left" vertical="center" wrapText="1" indent="2"/>
    </xf>
    <xf numFmtId="3" fontId="13" fillId="2" borderId="43" xfId="2" applyNumberFormat="1" applyFont="1" applyFill="1" applyBorder="1" applyAlignment="1">
      <alignment horizontal="center" vertical="center" wrapText="1"/>
    </xf>
    <xf numFmtId="3" fontId="8" fillId="2" borderId="43" xfId="2" applyNumberFormat="1" applyFont="1" applyFill="1" applyBorder="1" applyAlignment="1">
      <alignment horizontal="center" vertical="center" wrapText="1"/>
    </xf>
    <xf numFmtId="3" fontId="13" fillId="2" borderId="4" xfId="2" applyNumberFormat="1" applyFont="1" applyFill="1" applyBorder="1" applyAlignment="1">
      <alignment horizontal="center" vertical="center" wrapText="1"/>
    </xf>
    <xf numFmtId="3" fontId="13" fillId="2" borderId="41" xfId="2" applyNumberFormat="1" applyFont="1" applyFill="1" applyBorder="1" applyAlignment="1">
      <alignment horizontal="center" vertical="center" wrapText="1"/>
    </xf>
    <xf numFmtId="3" fontId="13" fillId="2" borderId="26" xfId="2" applyNumberFormat="1" applyFont="1" applyFill="1" applyBorder="1" applyAlignment="1">
      <alignment horizontal="center" vertical="center" wrapText="1"/>
    </xf>
    <xf numFmtId="3" fontId="13" fillId="2" borderId="38" xfId="2" applyNumberFormat="1" applyFont="1" applyFill="1" applyBorder="1" applyAlignment="1">
      <alignment horizontal="center" vertical="center" wrapText="1"/>
    </xf>
    <xf numFmtId="49" fontId="13" fillId="2" borderId="28" xfId="2" applyNumberFormat="1" applyFont="1" applyFill="1" applyBorder="1" applyAlignment="1">
      <alignment horizontal="center" vertical="center" wrapText="1"/>
    </xf>
    <xf numFmtId="49" fontId="15" fillId="2" borderId="0" xfId="2" applyNumberFormat="1" applyFont="1" applyFill="1" applyAlignment="1">
      <alignment horizontal="left" wrapText="1"/>
    </xf>
    <xf numFmtId="49" fontId="15" fillId="2" borderId="0" xfId="2" applyNumberFormat="1" applyFont="1" applyFill="1" applyAlignment="1">
      <alignment horizontal="left" vertical="top" wrapText="1"/>
    </xf>
    <xf numFmtId="4" fontId="8" fillId="4" borderId="7" xfId="2" applyNumberFormat="1" applyFont="1" applyFill="1" applyBorder="1" applyAlignment="1">
      <alignment horizontal="center" vertical="center" wrapText="1"/>
    </xf>
    <xf numFmtId="4" fontId="8" fillId="4" borderId="8" xfId="2" applyNumberFormat="1" applyFont="1" applyFill="1" applyBorder="1" applyAlignment="1">
      <alignment horizontal="center" vertical="center" wrapText="1"/>
    </xf>
    <xf numFmtId="0" fontId="12" fillId="2" borderId="37" xfId="2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top" wrapText="1"/>
    </xf>
    <xf numFmtId="0" fontId="12" fillId="2" borderId="37" xfId="2" applyFont="1" applyFill="1" applyBorder="1" applyAlignment="1">
      <alignment horizontal="left" vertical="center" wrapText="1" indent="1"/>
    </xf>
  </cellXfs>
  <cellStyles count="9">
    <cellStyle name="Гиперссылка" xfId="8" builtinId="8"/>
    <cellStyle name="Обычный" xfId="0" builtinId="0"/>
    <cellStyle name="Обычный 15 7" xfId="5"/>
    <cellStyle name="Обычный 2" xfId="6"/>
    <cellStyle name="Обычный 3" xfId="1"/>
    <cellStyle name="Обычный 3 2" xfId="2"/>
    <cellStyle name="Обычный 3 2 2 2 3 2 2" xfId="4"/>
    <cellStyle name="Обычный 4 2" xfId="3"/>
    <cellStyle name="Процентный 2" xfId="7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99"/>
      <color rgb="FFEBD7C3"/>
      <color rgb="FFFFCCCC"/>
      <color rgb="FFC3C3D7"/>
      <color rgb="FFFFE1FF"/>
      <color rgb="FFE0C1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8059</xdr:rowOff>
    </xdr:from>
    <xdr:to>
      <xdr:col>1</xdr:col>
      <xdr:colOff>0</xdr:colOff>
      <xdr:row>6</xdr:row>
      <xdr:rowOff>292459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Субъект РФ">
              <a:extLst>
                <a:ext uri="{FF2B5EF4-FFF2-40B4-BE49-F238E27FC236}">
                  <a16:creationId xmlns:a16="http://schemas.microsoft.com/office/drawing/2014/main" id="{FADCD4A2-AAD7-4B6D-95D4-E6AFE6B6F1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убъект Р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059"/>
              <a:ext cx="1828800" cy="16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31872</xdr:colOff>
      <xdr:row>0</xdr:row>
      <xdr:rowOff>8059</xdr:rowOff>
    </xdr:from>
    <xdr:to>
      <xdr:col>1</xdr:col>
      <xdr:colOff>2089272</xdr:colOff>
      <xdr:row>6</xdr:row>
      <xdr:rowOff>292459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Диапазон максимальной мощности">
              <a:extLst>
                <a:ext uri="{FF2B5EF4-FFF2-40B4-BE49-F238E27FC236}">
                  <a16:creationId xmlns:a16="http://schemas.microsoft.com/office/drawing/2014/main" id="{6E295948-E4C8-461B-8EB3-FF467A6618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иапазон максимальной мощност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0672" y="8059"/>
              <a:ext cx="2057400" cy="16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25645</xdr:colOff>
      <xdr:row>0</xdr:row>
      <xdr:rowOff>8059</xdr:rowOff>
    </xdr:from>
    <xdr:to>
      <xdr:col>2</xdr:col>
      <xdr:colOff>4762501</xdr:colOff>
      <xdr:row>6</xdr:row>
      <xdr:rowOff>292459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Тип">
              <a:extLst>
                <a:ext uri="{FF2B5EF4-FFF2-40B4-BE49-F238E27FC236}">
                  <a16:creationId xmlns:a16="http://schemas.microsoft.com/office/drawing/2014/main" id="{2B746AA3-D215-4B97-BB4F-BE18E8C6AC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9945" y="8059"/>
              <a:ext cx="4736856" cy="16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34804</xdr:colOff>
      <xdr:row>0</xdr:row>
      <xdr:rowOff>8059</xdr:rowOff>
    </xdr:from>
    <xdr:to>
      <xdr:col>3</xdr:col>
      <xdr:colOff>2000250</xdr:colOff>
      <xdr:row>6</xdr:row>
      <xdr:rowOff>292459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Уровень напряжения">
              <a:extLst>
                <a:ext uri="{FF2B5EF4-FFF2-40B4-BE49-F238E27FC236}">
                  <a16:creationId xmlns:a16="http://schemas.microsoft.com/office/drawing/2014/main" id="{A4ED8D1F-B30E-4BCD-870B-881217CDF5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Уровень напряжен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0179" y="8059"/>
              <a:ext cx="1965446" cy="16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0</xdr:colOff>
      <xdr:row>0</xdr:row>
      <xdr:rowOff>8059</xdr:rowOff>
    </xdr:from>
    <xdr:to>
      <xdr:col>4</xdr:col>
      <xdr:colOff>1695449</xdr:colOff>
      <xdr:row>6</xdr:row>
      <xdr:rowOff>292459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Ценовая категория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Ценовая категор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3725" y="8059"/>
              <a:ext cx="1695449" cy="16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76</xdr:row>
          <xdr:rowOff>0</xdr:rowOff>
        </xdr:from>
        <xdr:to>
          <xdr:col>1</xdr:col>
          <xdr:colOff>142875</xdr:colOff>
          <xdr:row>76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95</xdr:row>
          <xdr:rowOff>0</xdr:rowOff>
        </xdr:from>
        <xdr:to>
          <xdr:col>1</xdr:col>
          <xdr:colOff>142875</xdr:colOff>
          <xdr:row>95</xdr:row>
          <xdr:rowOff>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99</xdr:row>
          <xdr:rowOff>0</xdr:rowOff>
        </xdr:from>
        <xdr:to>
          <xdr:col>1</xdr:col>
          <xdr:colOff>142875</xdr:colOff>
          <xdr:row>99</xdr:row>
          <xdr:rowOff>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95</xdr:row>
          <xdr:rowOff>0</xdr:rowOff>
        </xdr:from>
        <xdr:to>
          <xdr:col>1</xdr:col>
          <xdr:colOff>142875</xdr:colOff>
          <xdr:row>95</xdr:row>
          <xdr:rowOff>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95</xdr:row>
          <xdr:rowOff>0</xdr:rowOff>
        </xdr:from>
        <xdr:to>
          <xdr:col>1</xdr:col>
          <xdr:colOff>142875</xdr:colOff>
          <xdr:row>95</xdr:row>
          <xdr:rowOff>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156</xdr:row>
          <xdr:rowOff>0</xdr:rowOff>
        </xdr:from>
        <xdr:to>
          <xdr:col>1</xdr:col>
          <xdr:colOff>142875</xdr:colOff>
          <xdr:row>156</xdr:row>
          <xdr:rowOff>0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76</xdr:row>
          <xdr:rowOff>0</xdr:rowOff>
        </xdr:from>
        <xdr:to>
          <xdr:col>1</xdr:col>
          <xdr:colOff>142875</xdr:colOff>
          <xdr:row>76</xdr:row>
          <xdr:rowOff>0</xdr:rowOff>
        </xdr:to>
        <xdr:sp macro="" textlink="">
          <xdr:nvSpPr>
            <xdr:cNvPr id="27649" name="Object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95</xdr:row>
          <xdr:rowOff>0</xdr:rowOff>
        </xdr:from>
        <xdr:to>
          <xdr:col>1</xdr:col>
          <xdr:colOff>142875</xdr:colOff>
          <xdr:row>95</xdr:row>
          <xdr:rowOff>0</xdr:rowOff>
        </xdr:to>
        <xdr:sp macro="" textlink="">
          <xdr:nvSpPr>
            <xdr:cNvPr id="28673" name="Object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99</xdr:row>
          <xdr:rowOff>0</xdr:rowOff>
        </xdr:from>
        <xdr:to>
          <xdr:col>1</xdr:col>
          <xdr:colOff>142875</xdr:colOff>
          <xdr:row>99</xdr:row>
          <xdr:rowOff>0</xdr:rowOff>
        </xdr:to>
        <xdr:sp macro="" textlink="">
          <xdr:nvSpPr>
            <xdr:cNvPr id="29697" name="Object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95</xdr:row>
          <xdr:rowOff>0</xdr:rowOff>
        </xdr:from>
        <xdr:to>
          <xdr:col>1</xdr:col>
          <xdr:colOff>142875</xdr:colOff>
          <xdr:row>95</xdr:row>
          <xdr:rowOff>0</xdr:rowOff>
        </xdr:to>
        <xdr:sp macro="" textlink="">
          <xdr:nvSpPr>
            <xdr:cNvPr id="30721" name="Object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95</xdr:row>
          <xdr:rowOff>0</xdr:rowOff>
        </xdr:from>
        <xdr:to>
          <xdr:col>1</xdr:col>
          <xdr:colOff>142875</xdr:colOff>
          <xdr:row>95</xdr:row>
          <xdr:rowOff>0</xdr:rowOff>
        </xdr:to>
        <xdr:sp macro="" textlink="">
          <xdr:nvSpPr>
            <xdr:cNvPr id="32769" name="Object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155</xdr:row>
          <xdr:rowOff>0</xdr:rowOff>
        </xdr:from>
        <xdr:to>
          <xdr:col>1</xdr:col>
          <xdr:colOff>142875</xdr:colOff>
          <xdr:row>155</xdr:row>
          <xdr:rowOff>0</xdr:rowOff>
        </xdr:to>
        <xdr:sp macro="" textlink="">
          <xdr:nvSpPr>
            <xdr:cNvPr id="33793" name="Object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Субъект_РФ" sourceName="Субъект РФ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Диапазон_максимальной_мощности" sourceName="Диапазон максимальной мощности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Тип" sourceName="Тип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Уровень_напряжения" sourceName="Уровень напряжения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Ценовая_категория" sourceName="Ценовая категория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Субъект РФ" cache="Срез_Субъект_РФ" caption="Субъект РФ" style="SlicerStyleLight3" rowHeight="226800"/>
  <slicer name="Диапазон максимальной мощности" cache="Срез_Диапазон_максимальной_мощности" caption="Диапазон максимальной мощности" style="SlicerStyleLight3" rowHeight="226800"/>
  <slicer name="Тип" cache="Срез_Тип" caption="Тип" style="SlicerStyleLight3" rowHeight="226800"/>
  <slicer name="Уровень напряжения" cache="Срез_Уровень_напряжения" caption="Уровень напряжения" style="SlicerStyleLight3" rowHeight="226800"/>
  <slicer name="Ценовая категория" cache="Срез_Ценовая_категория" caption="Ценовая категория" style="SlicerStyleLight3" rowHeight="226800"/>
</slicers>
</file>

<file path=xl/tables/table1.xml><?xml version="1.0" encoding="utf-8"?>
<table xmlns="http://schemas.openxmlformats.org/spreadsheetml/2006/main" id="1" name="Таблица1" displayName="Таблица1" ref="A9:F145" totalsRowShown="0" headerRowDxfId="10" dataDxfId="8" headerRowBorderDxfId="9" tableBorderDxfId="7" totalsRowBorderDxfId="6">
  <autoFilter ref="A9:F145"/>
  <tableColumns count="6">
    <tableColumn id="1" name="Субъект РФ" dataDxfId="5"/>
    <tableColumn id="2" name="Диапазон максимальной мощности" dataDxfId="4"/>
    <tableColumn id="3" name="Тип" dataDxfId="3"/>
    <tableColumn id="4" name="Уровень напряжения" dataDxfId="2"/>
    <tableColumn id="6" name="Ценовая категория" dataDxfId="1"/>
    <tableColumn id="5" name="Ссылка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N7"/>
  <sheetViews>
    <sheetView showGridLines="0" tabSelected="1" workbookViewId="0"/>
  </sheetViews>
  <sheetFormatPr defaultRowHeight="12.75" x14ac:dyDescent="0.2"/>
  <cols>
    <col min="1" max="1" width="108.5703125" customWidth="1"/>
  </cols>
  <sheetData>
    <row r="1" spans="1:14" ht="54" x14ac:dyDescent="0.25">
      <c r="A1" s="169" t="s">
        <v>105</v>
      </c>
    </row>
    <row r="2" spans="1:14" x14ac:dyDescent="0.2">
      <c r="A2" s="166" t="s">
        <v>123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4" spans="1:14" ht="25.5" x14ac:dyDescent="0.2">
      <c r="A4" s="171" t="s">
        <v>120</v>
      </c>
    </row>
    <row r="5" spans="1:14" ht="28.5" customHeight="1" x14ac:dyDescent="0.2">
      <c r="A5" s="171" t="s">
        <v>119</v>
      </c>
    </row>
    <row r="6" spans="1:14" ht="39.75" customHeight="1" x14ac:dyDescent="0.2">
      <c r="A6" s="171" t="s">
        <v>121</v>
      </c>
    </row>
    <row r="7" spans="1:14" ht="35.2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7:F145"/>
  <sheetViews>
    <sheetView showGridLines="0"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8" x14ac:dyDescent="0.25"/>
  <cols>
    <col min="1" max="1" width="27.42578125" style="72" bestFit="1" customWidth="1"/>
    <col min="2" max="2" width="31.42578125" style="72" customWidth="1"/>
    <col min="3" max="3" width="71.85546875" style="72" bestFit="1" customWidth="1"/>
    <col min="4" max="4" width="30.5703125" style="72" customWidth="1"/>
    <col min="5" max="5" width="25.42578125" style="72" customWidth="1"/>
    <col min="6" max="6" width="15.85546875" style="72" customWidth="1"/>
    <col min="7" max="16384" width="9.140625" style="72"/>
  </cols>
  <sheetData>
    <row r="7" spans="1:6" ht="25.5" customHeight="1" x14ac:dyDescent="0.25"/>
    <row r="8" spans="1:6" ht="13.5" customHeight="1" x14ac:dyDescent="0.25"/>
    <row r="9" spans="1:6" ht="31.5" x14ac:dyDescent="0.25">
      <c r="A9" s="75" t="s">
        <v>51</v>
      </c>
      <c r="B9" s="76" t="s">
        <v>52</v>
      </c>
      <c r="C9" s="76" t="s">
        <v>53</v>
      </c>
      <c r="D9" s="76" t="s">
        <v>50</v>
      </c>
      <c r="E9" s="77" t="s">
        <v>70</v>
      </c>
      <c r="F9" s="77" t="s">
        <v>54</v>
      </c>
    </row>
    <row r="10" spans="1:6" x14ac:dyDescent="0.25">
      <c r="A10" s="94" t="s">
        <v>56</v>
      </c>
      <c r="B10" s="94" t="s">
        <v>43</v>
      </c>
      <c r="C10" s="94" t="s">
        <v>46</v>
      </c>
      <c r="D10" s="94" t="s">
        <v>2</v>
      </c>
      <c r="E10" s="94" t="s">
        <v>71</v>
      </c>
      <c r="F10" s="167" t="s">
        <v>55</v>
      </c>
    </row>
    <row r="11" spans="1:6" x14ac:dyDescent="0.25">
      <c r="A11" s="94" t="s">
        <v>56</v>
      </c>
      <c r="B11" s="94" t="s">
        <v>43</v>
      </c>
      <c r="C11" s="94" t="s">
        <v>46</v>
      </c>
      <c r="D11" s="94" t="s">
        <v>2</v>
      </c>
      <c r="E11" s="94" t="s">
        <v>72</v>
      </c>
      <c r="F11" s="167" t="s">
        <v>55</v>
      </c>
    </row>
    <row r="12" spans="1:6" x14ac:dyDescent="0.25">
      <c r="A12" s="94" t="s">
        <v>56</v>
      </c>
      <c r="B12" s="94" t="s">
        <v>43</v>
      </c>
      <c r="C12" s="94" t="s">
        <v>46</v>
      </c>
      <c r="D12" s="94" t="s">
        <v>2</v>
      </c>
      <c r="E12" s="94" t="s">
        <v>73</v>
      </c>
      <c r="F12" s="167" t="s">
        <v>55</v>
      </c>
    </row>
    <row r="13" spans="1:6" x14ac:dyDescent="0.25">
      <c r="A13" s="94" t="s">
        <v>56</v>
      </c>
      <c r="B13" s="94" t="s">
        <v>43</v>
      </c>
      <c r="C13" s="94" t="s">
        <v>46</v>
      </c>
      <c r="D13" s="94" t="s">
        <v>38</v>
      </c>
      <c r="E13" s="94" t="s">
        <v>71</v>
      </c>
      <c r="F13" s="167" t="s">
        <v>55</v>
      </c>
    </row>
    <row r="14" spans="1:6" x14ac:dyDescent="0.25">
      <c r="A14" s="94" t="s">
        <v>56</v>
      </c>
      <c r="B14" s="94" t="s">
        <v>43</v>
      </c>
      <c r="C14" s="94" t="s">
        <v>46</v>
      </c>
      <c r="D14" s="94" t="s">
        <v>38</v>
      </c>
      <c r="E14" s="94" t="s">
        <v>72</v>
      </c>
      <c r="F14" s="167" t="s">
        <v>55</v>
      </c>
    </row>
    <row r="15" spans="1:6" x14ac:dyDescent="0.25">
      <c r="A15" s="94" t="s">
        <v>56</v>
      </c>
      <c r="B15" s="94" t="s">
        <v>43</v>
      </c>
      <c r="C15" s="94" t="s">
        <v>46</v>
      </c>
      <c r="D15" s="94" t="s">
        <v>38</v>
      </c>
      <c r="E15" s="94" t="s">
        <v>73</v>
      </c>
      <c r="F15" s="167" t="s">
        <v>55</v>
      </c>
    </row>
    <row r="16" spans="1:6" x14ac:dyDescent="0.25">
      <c r="A16" s="94" t="s">
        <v>56</v>
      </c>
      <c r="B16" s="94" t="s">
        <v>43</v>
      </c>
      <c r="C16" s="94" t="s">
        <v>46</v>
      </c>
      <c r="D16" s="94" t="s">
        <v>39</v>
      </c>
      <c r="E16" s="94" t="s">
        <v>71</v>
      </c>
      <c r="F16" s="167" t="s">
        <v>55</v>
      </c>
    </row>
    <row r="17" spans="1:6" x14ac:dyDescent="0.25">
      <c r="A17" s="94" t="s">
        <v>56</v>
      </c>
      <c r="B17" s="94" t="s">
        <v>43</v>
      </c>
      <c r="C17" s="94" t="s">
        <v>46</v>
      </c>
      <c r="D17" s="94" t="s">
        <v>39</v>
      </c>
      <c r="E17" s="94" t="s">
        <v>72</v>
      </c>
      <c r="F17" s="167" t="s">
        <v>55</v>
      </c>
    </row>
    <row r="18" spans="1:6" x14ac:dyDescent="0.25">
      <c r="A18" s="94" t="s">
        <v>56</v>
      </c>
      <c r="B18" s="94" t="s">
        <v>43</v>
      </c>
      <c r="C18" s="94" t="s">
        <v>46</v>
      </c>
      <c r="D18" s="94" t="s">
        <v>39</v>
      </c>
      <c r="E18" s="94" t="s">
        <v>73</v>
      </c>
      <c r="F18" s="167" t="s">
        <v>55</v>
      </c>
    </row>
    <row r="19" spans="1:6" x14ac:dyDescent="0.25">
      <c r="A19" s="94" t="s">
        <v>56</v>
      </c>
      <c r="B19" s="94" t="s">
        <v>43</v>
      </c>
      <c r="C19" s="94" t="s">
        <v>46</v>
      </c>
      <c r="D19" s="94" t="s">
        <v>3</v>
      </c>
      <c r="E19" s="94" t="s">
        <v>71</v>
      </c>
      <c r="F19" s="167" t="s">
        <v>55</v>
      </c>
    </row>
    <row r="20" spans="1:6" x14ac:dyDescent="0.25">
      <c r="A20" s="94" t="s">
        <v>56</v>
      </c>
      <c r="B20" s="94" t="s">
        <v>43</v>
      </c>
      <c r="C20" s="94" t="s">
        <v>46</v>
      </c>
      <c r="D20" s="94" t="s">
        <v>3</v>
      </c>
      <c r="E20" s="94" t="s">
        <v>72</v>
      </c>
      <c r="F20" s="167" t="s">
        <v>55</v>
      </c>
    </row>
    <row r="21" spans="1:6" x14ac:dyDescent="0.25">
      <c r="A21" s="94" t="s">
        <v>56</v>
      </c>
      <c r="B21" s="94" t="s">
        <v>43</v>
      </c>
      <c r="C21" s="94" t="s">
        <v>46</v>
      </c>
      <c r="D21" s="94" t="s">
        <v>3</v>
      </c>
      <c r="E21" s="94" t="s">
        <v>73</v>
      </c>
      <c r="F21" s="167" t="s">
        <v>55</v>
      </c>
    </row>
    <row r="22" spans="1:6" x14ac:dyDescent="0.25">
      <c r="A22" s="94" t="s">
        <v>56</v>
      </c>
      <c r="B22" s="94" t="s">
        <v>43</v>
      </c>
      <c r="C22" s="94" t="s">
        <v>47</v>
      </c>
      <c r="D22" s="94" t="s">
        <v>2</v>
      </c>
      <c r="E22" s="94" t="s">
        <v>71</v>
      </c>
      <c r="F22" s="167" t="s">
        <v>55</v>
      </c>
    </row>
    <row r="23" spans="1:6" x14ac:dyDescent="0.25">
      <c r="A23" s="94" t="s">
        <v>56</v>
      </c>
      <c r="B23" s="94" t="s">
        <v>43</v>
      </c>
      <c r="C23" s="94" t="s">
        <v>47</v>
      </c>
      <c r="D23" s="94" t="s">
        <v>2</v>
      </c>
      <c r="E23" s="94" t="s">
        <v>72</v>
      </c>
      <c r="F23" s="167" t="s">
        <v>55</v>
      </c>
    </row>
    <row r="24" spans="1:6" x14ac:dyDescent="0.25">
      <c r="A24" s="94" t="s">
        <v>56</v>
      </c>
      <c r="B24" s="94" t="s">
        <v>43</v>
      </c>
      <c r="C24" s="94" t="s">
        <v>47</v>
      </c>
      <c r="D24" s="94" t="s">
        <v>2</v>
      </c>
      <c r="E24" s="94" t="s">
        <v>73</v>
      </c>
      <c r="F24" s="167" t="s">
        <v>55</v>
      </c>
    </row>
    <row r="25" spans="1:6" x14ac:dyDescent="0.25">
      <c r="A25" s="94" t="s">
        <v>56</v>
      </c>
      <c r="B25" s="94" t="s">
        <v>43</v>
      </c>
      <c r="C25" s="94" t="s">
        <v>47</v>
      </c>
      <c r="D25" s="94" t="s">
        <v>38</v>
      </c>
      <c r="E25" s="94" t="s">
        <v>71</v>
      </c>
      <c r="F25" s="167" t="s">
        <v>55</v>
      </c>
    </row>
    <row r="26" spans="1:6" x14ac:dyDescent="0.25">
      <c r="A26" s="94" t="s">
        <v>56</v>
      </c>
      <c r="B26" s="94" t="s">
        <v>43</v>
      </c>
      <c r="C26" s="94" t="s">
        <v>47</v>
      </c>
      <c r="D26" s="94" t="s">
        <v>38</v>
      </c>
      <c r="E26" s="94" t="s">
        <v>72</v>
      </c>
      <c r="F26" s="167" t="s">
        <v>55</v>
      </c>
    </row>
    <row r="27" spans="1:6" x14ac:dyDescent="0.25">
      <c r="A27" s="94" t="s">
        <v>56</v>
      </c>
      <c r="B27" s="94" t="s">
        <v>43</v>
      </c>
      <c r="C27" s="94" t="s">
        <v>47</v>
      </c>
      <c r="D27" s="94" t="s">
        <v>38</v>
      </c>
      <c r="E27" s="94" t="s">
        <v>73</v>
      </c>
      <c r="F27" s="167" t="s">
        <v>55</v>
      </c>
    </row>
    <row r="28" spans="1:6" x14ac:dyDescent="0.25">
      <c r="A28" s="94" t="s">
        <v>56</v>
      </c>
      <c r="B28" s="94" t="s">
        <v>43</v>
      </c>
      <c r="C28" s="94" t="s">
        <v>47</v>
      </c>
      <c r="D28" s="94" t="s">
        <v>39</v>
      </c>
      <c r="E28" s="94" t="s">
        <v>71</v>
      </c>
      <c r="F28" s="167" t="s">
        <v>55</v>
      </c>
    </row>
    <row r="29" spans="1:6" x14ac:dyDescent="0.25">
      <c r="A29" s="94" t="s">
        <v>56</v>
      </c>
      <c r="B29" s="94" t="s">
        <v>43</v>
      </c>
      <c r="C29" s="94" t="s">
        <v>47</v>
      </c>
      <c r="D29" s="94" t="s">
        <v>39</v>
      </c>
      <c r="E29" s="94" t="s">
        <v>72</v>
      </c>
      <c r="F29" s="167" t="s">
        <v>55</v>
      </c>
    </row>
    <row r="30" spans="1:6" x14ac:dyDescent="0.25">
      <c r="A30" s="94" t="s">
        <v>56</v>
      </c>
      <c r="B30" s="94" t="s">
        <v>43</v>
      </c>
      <c r="C30" s="94" t="s">
        <v>47</v>
      </c>
      <c r="D30" s="94" t="s">
        <v>39</v>
      </c>
      <c r="E30" s="94" t="s">
        <v>73</v>
      </c>
      <c r="F30" s="167" t="s">
        <v>55</v>
      </c>
    </row>
    <row r="31" spans="1:6" x14ac:dyDescent="0.25">
      <c r="A31" s="94" t="s">
        <v>56</v>
      </c>
      <c r="B31" s="94" t="s">
        <v>43</v>
      </c>
      <c r="C31" s="94" t="s">
        <v>47</v>
      </c>
      <c r="D31" s="94" t="s">
        <v>3</v>
      </c>
      <c r="E31" s="94" t="s">
        <v>71</v>
      </c>
      <c r="F31" s="167" t="s">
        <v>55</v>
      </c>
    </row>
    <row r="32" spans="1:6" x14ac:dyDescent="0.25">
      <c r="A32" s="94" t="s">
        <v>56</v>
      </c>
      <c r="B32" s="94" t="s">
        <v>43</v>
      </c>
      <c r="C32" s="94" t="s">
        <v>47</v>
      </c>
      <c r="D32" s="94" t="s">
        <v>3</v>
      </c>
      <c r="E32" s="94" t="s">
        <v>72</v>
      </c>
      <c r="F32" s="167" t="s">
        <v>55</v>
      </c>
    </row>
    <row r="33" spans="1:6" x14ac:dyDescent="0.25">
      <c r="A33" s="94" t="s">
        <v>56</v>
      </c>
      <c r="B33" s="94" t="s">
        <v>43</v>
      </c>
      <c r="C33" s="94" t="s">
        <v>47</v>
      </c>
      <c r="D33" s="94" t="s">
        <v>3</v>
      </c>
      <c r="E33" s="94" t="s">
        <v>73</v>
      </c>
      <c r="F33" s="167" t="s">
        <v>55</v>
      </c>
    </row>
    <row r="34" spans="1:6" x14ac:dyDescent="0.25">
      <c r="A34" s="94" t="s">
        <v>56</v>
      </c>
      <c r="B34" s="94" t="s">
        <v>41</v>
      </c>
      <c r="C34" s="94" t="s">
        <v>46</v>
      </c>
      <c r="D34" s="94" t="s">
        <v>2</v>
      </c>
      <c r="E34" s="94" t="s">
        <v>72</v>
      </c>
      <c r="F34" s="167" t="s">
        <v>55</v>
      </c>
    </row>
    <row r="35" spans="1:6" x14ac:dyDescent="0.25">
      <c r="A35" s="94" t="s">
        <v>56</v>
      </c>
      <c r="B35" s="94" t="s">
        <v>41</v>
      </c>
      <c r="C35" s="94" t="s">
        <v>46</v>
      </c>
      <c r="D35" s="94" t="s">
        <v>2</v>
      </c>
      <c r="E35" s="94" t="s">
        <v>73</v>
      </c>
      <c r="F35" s="167" t="s">
        <v>55</v>
      </c>
    </row>
    <row r="36" spans="1:6" x14ac:dyDescent="0.25">
      <c r="A36" s="94" t="s">
        <v>56</v>
      </c>
      <c r="B36" s="94" t="s">
        <v>41</v>
      </c>
      <c r="C36" s="94" t="s">
        <v>46</v>
      </c>
      <c r="D36" s="94" t="s">
        <v>38</v>
      </c>
      <c r="E36" s="94" t="s">
        <v>72</v>
      </c>
      <c r="F36" s="167" t="s">
        <v>55</v>
      </c>
    </row>
    <row r="37" spans="1:6" x14ac:dyDescent="0.25">
      <c r="A37" s="94" t="s">
        <v>56</v>
      </c>
      <c r="B37" s="94" t="s">
        <v>41</v>
      </c>
      <c r="C37" s="94" t="s">
        <v>46</v>
      </c>
      <c r="D37" s="94" t="s">
        <v>38</v>
      </c>
      <c r="E37" s="94" t="s">
        <v>73</v>
      </c>
      <c r="F37" s="167" t="s">
        <v>55</v>
      </c>
    </row>
    <row r="38" spans="1:6" x14ac:dyDescent="0.25">
      <c r="A38" s="94" t="s">
        <v>56</v>
      </c>
      <c r="B38" s="94" t="s">
        <v>41</v>
      </c>
      <c r="C38" s="94" t="s">
        <v>46</v>
      </c>
      <c r="D38" s="94" t="s">
        <v>39</v>
      </c>
      <c r="E38" s="94" t="s">
        <v>72</v>
      </c>
      <c r="F38" s="167" t="s">
        <v>55</v>
      </c>
    </row>
    <row r="39" spans="1:6" x14ac:dyDescent="0.25">
      <c r="A39" s="94" t="s">
        <v>56</v>
      </c>
      <c r="B39" s="94" t="s">
        <v>41</v>
      </c>
      <c r="C39" s="94" t="s">
        <v>46</v>
      </c>
      <c r="D39" s="94" t="s">
        <v>39</v>
      </c>
      <c r="E39" s="94" t="s">
        <v>73</v>
      </c>
      <c r="F39" s="167" t="s">
        <v>55</v>
      </c>
    </row>
    <row r="40" spans="1:6" x14ac:dyDescent="0.25">
      <c r="A40" s="94" t="s">
        <v>56</v>
      </c>
      <c r="B40" s="94" t="s">
        <v>41</v>
      </c>
      <c r="C40" s="94" t="s">
        <v>46</v>
      </c>
      <c r="D40" s="94" t="s">
        <v>3</v>
      </c>
      <c r="E40" s="94" t="s">
        <v>72</v>
      </c>
      <c r="F40" s="167" t="s">
        <v>55</v>
      </c>
    </row>
    <row r="41" spans="1:6" x14ac:dyDescent="0.25">
      <c r="A41" s="94" t="s">
        <v>56</v>
      </c>
      <c r="B41" s="94" t="s">
        <v>41</v>
      </c>
      <c r="C41" s="94" t="s">
        <v>46</v>
      </c>
      <c r="D41" s="94" t="s">
        <v>3</v>
      </c>
      <c r="E41" s="94" t="s">
        <v>73</v>
      </c>
      <c r="F41" s="167" t="s">
        <v>55</v>
      </c>
    </row>
    <row r="42" spans="1:6" x14ac:dyDescent="0.25">
      <c r="A42" s="94" t="s">
        <v>56</v>
      </c>
      <c r="B42" s="94" t="s">
        <v>41</v>
      </c>
      <c r="C42" s="94" t="s">
        <v>47</v>
      </c>
      <c r="D42" s="94" t="s">
        <v>2</v>
      </c>
      <c r="E42" s="94" t="s">
        <v>72</v>
      </c>
      <c r="F42" s="167" t="s">
        <v>55</v>
      </c>
    </row>
    <row r="43" spans="1:6" x14ac:dyDescent="0.25">
      <c r="A43" s="94" t="s">
        <v>56</v>
      </c>
      <c r="B43" s="94" t="s">
        <v>41</v>
      </c>
      <c r="C43" s="94" t="s">
        <v>47</v>
      </c>
      <c r="D43" s="94" t="s">
        <v>2</v>
      </c>
      <c r="E43" s="94" t="s">
        <v>73</v>
      </c>
      <c r="F43" s="167" t="s">
        <v>55</v>
      </c>
    </row>
    <row r="44" spans="1:6" x14ac:dyDescent="0.25">
      <c r="A44" s="94" t="s">
        <v>56</v>
      </c>
      <c r="B44" s="94" t="s">
        <v>41</v>
      </c>
      <c r="C44" s="94" t="s">
        <v>47</v>
      </c>
      <c r="D44" s="94" t="s">
        <v>38</v>
      </c>
      <c r="E44" s="94" t="s">
        <v>72</v>
      </c>
      <c r="F44" s="167" t="s">
        <v>55</v>
      </c>
    </row>
    <row r="45" spans="1:6" x14ac:dyDescent="0.25">
      <c r="A45" s="94" t="s">
        <v>56</v>
      </c>
      <c r="B45" s="94" t="s">
        <v>41</v>
      </c>
      <c r="C45" s="94" t="s">
        <v>47</v>
      </c>
      <c r="D45" s="94" t="s">
        <v>38</v>
      </c>
      <c r="E45" s="94" t="s">
        <v>73</v>
      </c>
      <c r="F45" s="167" t="s">
        <v>55</v>
      </c>
    </row>
    <row r="46" spans="1:6" x14ac:dyDescent="0.25">
      <c r="A46" s="94" t="s">
        <v>56</v>
      </c>
      <c r="B46" s="94" t="s">
        <v>41</v>
      </c>
      <c r="C46" s="94" t="s">
        <v>47</v>
      </c>
      <c r="D46" s="94" t="s">
        <v>39</v>
      </c>
      <c r="E46" s="94" t="s">
        <v>72</v>
      </c>
      <c r="F46" s="167" t="s">
        <v>55</v>
      </c>
    </row>
    <row r="47" spans="1:6" x14ac:dyDescent="0.25">
      <c r="A47" s="94" t="s">
        <v>56</v>
      </c>
      <c r="B47" s="94" t="s">
        <v>41</v>
      </c>
      <c r="C47" s="94" t="s">
        <v>47</v>
      </c>
      <c r="D47" s="94" t="s">
        <v>39</v>
      </c>
      <c r="E47" s="94" t="s">
        <v>73</v>
      </c>
      <c r="F47" s="167" t="s">
        <v>55</v>
      </c>
    </row>
    <row r="48" spans="1:6" x14ac:dyDescent="0.25">
      <c r="A48" s="94" t="s">
        <v>56</v>
      </c>
      <c r="B48" s="94" t="s">
        <v>41</v>
      </c>
      <c r="C48" s="94" t="s">
        <v>47</v>
      </c>
      <c r="D48" s="94" t="s">
        <v>3</v>
      </c>
      <c r="E48" s="94" t="s">
        <v>72</v>
      </c>
      <c r="F48" s="167" t="s">
        <v>55</v>
      </c>
    </row>
    <row r="49" spans="1:6" x14ac:dyDescent="0.25">
      <c r="A49" s="94" t="s">
        <v>56</v>
      </c>
      <c r="B49" s="94" t="s">
        <v>41</v>
      </c>
      <c r="C49" s="94" t="s">
        <v>47</v>
      </c>
      <c r="D49" s="94" t="s">
        <v>3</v>
      </c>
      <c r="E49" s="94" t="s">
        <v>73</v>
      </c>
      <c r="F49" s="167" t="s">
        <v>55</v>
      </c>
    </row>
    <row r="50" spans="1:6" x14ac:dyDescent="0.25">
      <c r="A50" s="94" t="s">
        <v>56</v>
      </c>
      <c r="B50" s="94" t="s">
        <v>41</v>
      </c>
      <c r="C50" s="94" t="s">
        <v>44</v>
      </c>
      <c r="D50" s="94" t="s">
        <v>2</v>
      </c>
      <c r="E50" s="94" t="s">
        <v>73</v>
      </c>
      <c r="F50" s="167" t="s">
        <v>55</v>
      </c>
    </row>
    <row r="51" spans="1:6" x14ac:dyDescent="0.25">
      <c r="A51" s="94" t="s">
        <v>56</v>
      </c>
      <c r="B51" s="94" t="s">
        <v>41</v>
      </c>
      <c r="C51" s="94" t="s">
        <v>44</v>
      </c>
      <c r="D51" s="94" t="s">
        <v>38</v>
      </c>
      <c r="E51" s="94" t="s">
        <v>73</v>
      </c>
      <c r="F51" s="167" t="s">
        <v>55</v>
      </c>
    </row>
    <row r="52" spans="1:6" x14ac:dyDescent="0.25">
      <c r="A52" s="94" t="s">
        <v>56</v>
      </c>
      <c r="B52" s="94" t="s">
        <v>41</v>
      </c>
      <c r="C52" s="94" t="s">
        <v>44</v>
      </c>
      <c r="D52" s="94" t="s">
        <v>39</v>
      </c>
      <c r="E52" s="94" t="s">
        <v>73</v>
      </c>
      <c r="F52" s="167" t="s">
        <v>55</v>
      </c>
    </row>
    <row r="53" spans="1:6" x14ac:dyDescent="0.25">
      <c r="A53" s="94" t="s">
        <v>56</v>
      </c>
      <c r="B53" s="94" t="s">
        <v>41</v>
      </c>
      <c r="C53" s="94" t="s">
        <v>44</v>
      </c>
      <c r="D53" s="94" t="s">
        <v>3</v>
      </c>
      <c r="E53" s="94" t="s">
        <v>73</v>
      </c>
      <c r="F53" s="167" t="s">
        <v>55</v>
      </c>
    </row>
    <row r="54" spans="1:6" x14ac:dyDescent="0.25">
      <c r="A54" s="94" t="s">
        <v>56</v>
      </c>
      <c r="B54" s="94" t="s">
        <v>41</v>
      </c>
      <c r="C54" s="94" t="s">
        <v>48</v>
      </c>
      <c r="D54" s="94" t="s">
        <v>2</v>
      </c>
      <c r="E54" s="94" t="s">
        <v>73</v>
      </c>
      <c r="F54" s="167" t="s">
        <v>55</v>
      </c>
    </row>
    <row r="55" spans="1:6" x14ac:dyDescent="0.25">
      <c r="A55" s="94" t="s">
        <v>56</v>
      </c>
      <c r="B55" s="94" t="s">
        <v>41</v>
      </c>
      <c r="C55" s="94" t="s">
        <v>49</v>
      </c>
      <c r="D55" s="94" t="s">
        <v>2</v>
      </c>
      <c r="E55" s="94" t="s">
        <v>73</v>
      </c>
      <c r="F55" s="167" t="s">
        <v>55</v>
      </c>
    </row>
    <row r="56" spans="1:6" x14ac:dyDescent="0.25">
      <c r="A56" s="94" t="s">
        <v>56</v>
      </c>
      <c r="B56" s="94" t="s">
        <v>40</v>
      </c>
      <c r="C56" s="94" t="s">
        <v>46</v>
      </c>
      <c r="D56" s="94" t="s">
        <v>2</v>
      </c>
      <c r="E56" s="94" t="s">
        <v>72</v>
      </c>
      <c r="F56" s="167" t="s">
        <v>55</v>
      </c>
    </row>
    <row r="57" spans="1:6" x14ac:dyDescent="0.25">
      <c r="A57" s="94" t="s">
        <v>56</v>
      </c>
      <c r="B57" s="94" t="s">
        <v>40</v>
      </c>
      <c r="C57" s="94" t="s">
        <v>46</v>
      </c>
      <c r="D57" s="94" t="s">
        <v>2</v>
      </c>
      <c r="E57" s="94" t="s">
        <v>73</v>
      </c>
      <c r="F57" s="167" t="s">
        <v>55</v>
      </c>
    </row>
    <row r="58" spans="1:6" x14ac:dyDescent="0.25">
      <c r="A58" s="94" t="s">
        <v>56</v>
      </c>
      <c r="B58" s="94" t="s">
        <v>40</v>
      </c>
      <c r="C58" s="94" t="s">
        <v>46</v>
      </c>
      <c r="D58" s="94" t="s">
        <v>38</v>
      </c>
      <c r="E58" s="94" t="s">
        <v>72</v>
      </c>
      <c r="F58" s="167" t="s">
        <v>55</v>
      </c>
    </row>
    <row r="59" spans="1:6" x14ac:dyDescent="0.25">
      <c r="A59" s="94" t="s">
        <v>56</v>
      </c>
      <c r="B59" s="94" t="s">
        <v>40</v>
      </c>
      <c r="C59" s="94" t="s">
        <v>46</v>
      </c>
      <c r="D59" s="94" t="s">
        <v>38</v>
      </c>
      <c r="E59" s="94" t="s">
        <v>73</v>
      </c>
      <c r="F59" s="167" t="s">
        <v>55</v>
      </c>
    </row>
    <row r="60" spans="1:6" x14ac:dyDescent="0.25">
      <c r="A60" s="94" t="s">
        <v>56</v>
      </c>
      <c r="B60" s="94" t="s">
        <v>40</v>
      </c>
      <c r="C60" s="94" t="s">
        <v>46</v>
      </c>
      <c r="D60" s="94" t="s">
        <v>39</v>
      </c>
      <c r="E60" s="94" t="s">
        <v>72</v>
      </c>
      <c r="F60" s="167" t="s">
        <v>55</v>
      </c>
    </row>
    <row r="61" spans="1:6" x14ac:dyDescent="0.25">
      <c r="A61" s="94" t="s">
        <v>56</v>
      </c>
      <c r="B61" s="94" t="s">
        <v>40</v>
      </c>
      <c r="C61" s="94" t="s">
        <v>46</v>
      </c>
      <c r="D61" s="94" t="s">
        <v>39</v>
      </c>
      <c r="E61" s="94" t="s">
        <v>73</v>
      </c>
      <c r="F61" s="167" t="s">
        <v>55</v>
      </c>
    </row>
    <row r="62" spans="1:6" x14ac:dyDescent="0.25">
      <c r="A62" s="94" t="s">
        <v>56</v>
      </c>
      <c r="B62" s="94" t="s">
        <v>40</v>
      </c>
      <c r="C62" s="94" t="s">
        <v>46</v>
      </c>
      <c r="D62" s="94" t="s">
        <v>3</v>
      </c>
      <c r="E62" s="94" t="s">
        <v>72</v>
      </c>
      <c r="F62" s="167" t="s">
        <v>55</v>
      </c>
    </row>
    <row r="63" spans="1:6" x14ac:dyDescent="0.25">
      <c r="A63" s="94" t="s">
        <v>56</v>
      </c>
      <c r="B63" s="94" t="s">
        <v>40</v>
      </c>
      <c r="C63" s="94" t="s">
        <v>46</v>
      </c>
      <c r="D63" s="94" t="s">
        <v>3</v>
      </c>
      <c r="E63" s="94" t="s">
        <v>73</v>
      </c>
      <c r="F63" s="167" t="s">
        <v>55</v>
      </c>
    </row>
    <row r="64" spans="1:6" x14ac:dyDescent="0.25">
      <c r="A64" s="94" t="s">
        <v>56</v>
      </c>
      <c r="B64" s="94" t="s">
        <v>40</v>
      </c>
      <c r="C64" s="94" t="s">
        <v>47</v>
      </c>
      <c r="D64" s="94" t="s">
        <v>2</v>
      </c>
      <c r="E64" s="94" t="s">
        <v>72</v>
      </c>
      <c r="F64" s="167" t="s">
        <v>55</v>
      </c>
    </row>
    <row r="65" spans="1:6" x14ac:dyDescent="0.25">
      <c r="A65" s="94" t="s">
        <v>56</v>
      </c>
      <c r="B65" s="94" t="s">
        <v>40</v>
      </c>
      <c r="C65" s="94" t="s">
        <v>47</v>
      </c>
      <c r="D65" s="94" t="s">
        <v>2</v>
      </c>
      <c r="E65" s="94" t="s">
        <v>73</v>
      </c>
      <c r="F65" s="167" t="s">
        <v>55</v>
      </c>
    </row>
    <row r="66" spans="1:6" x14ac:dyDescent="0.25">
      <c r="A66" s="94" t="s">
        <v>56</v>
      </c>
      <c r="B66" s="94" t="s">
        <v>40</v>
      </c>
      <c r="C66" s="94" t="s">
        <v>47</v>
      </c>
      <c r="D66" s="94" t="s">
        <v>38</v>
      </c>
      <c r="E66" s="94" t="s">
        <v>72</v>
      </c>
      <c r="F66" s="167" t="s">
        <v>55</v>
      </c>
    </row>
    <row r="67" spans="1:6" x14ac:dyDescent="0.25">
      <c r="A67" s="94" t="s">
        <v>56</v>
      </c>
      <c r="B67" s="94" t="s">
        <v>40</v>
      </c>
      <c r="C67" s="94" t="s">
        <v>47</v>
      </c>
      <c r="D67" s="94" t="s">
        <v>38</v>
      </c>
      <c r="E67" s="94" t="s">
        <v>73</v>
      </c>
      <c r="F67" s="167" t="s">
        <v>55</v>
      </c>
    </row>
    <row r="68" spans="1:6" x14ac:dyDescent="0.25">
      <c r="A68" s="94" t="s">
        <v>56</v>
      </c>
      <c r="B68" s="94" t="s">
        <v>40</v>
      </c>
      <c r="C68" s="94" t="s">
        <v>47</v>
      </c>
      <c r="D68" s="94" t="s">
        <v>39</v>
      </c>
      <c r="E68" s="94" t="s">
        <v>72</v>
      </c>
      <c r="F68" s="167" t="s">
        <v>55</v>
      </c>
    </row>
    <row r="69" spans="1:6" x14ac:dyDescent="0.25">
      <c r="A69" s="94" t="s">
        <v>56</v>
      </c>
      <c r="B69" s="94" t="s">
        <v>40</v>
      </c>
      <c r="C69" s="94" t="s">
        <v>47</v>
      </c>
      <c r="D69" s="94" t="s">
        <v>39</v>
      </c>
      <c r="E69" s="94" t="s">
        <v>73</v>
      </c>
      <c r="F69" s="167" t="s">
        <v>55</v>
      </c>
    </row>
    <row r="70" spans="1:6" x14ac:dyDescent="0.25">
      <c r="A70" s="94" t="s">
        <v>56</v>
      </c>
      <c r="B70" s="94" t="s">
        <v>40</v>
      </c>
      <c r="C70" s="94" t="s">
        <v>47</v>
      </c>
      <c r="D70" s="94" t="s">
        <v>3</v>
      </c>
      <c r="E70" s="94" t="s">
        <v>72</v>
      </c>
      <c r="F70" s="167" t="s">
        <v>55</v>
      </c>
    </row>
    <row r="71" spans="1:6" x14ac:dyDescent="0.25">
      <c r="A71" s="94" t="s">
        <v>56</v>
      </c>
      <c r="B71" s="94" t="s">
        <v>40</v>
      </c>
      <c r="C71" s="94" t="s">
        <v>47</v>
      </c>
      <c r="D71" s="94" t="s">
        <v>3</v>
      </c>
      <c r="E71" s="94" t="s">
        <v>73</v>
      </c>
      <c r="F71" s="167" t="s">
        <v>55</v>
      </c>
    </row>
    <row r="72" spans="1:6" x14ac:dyDescent="0.25">
      <c r="A72" s="94" t="s">
        <v>56</v>
      </c>
      <c r="B72" s="94" t="s">
        <v>40</v>
      </c>
      <c r="C72" s="94" t="s">
        <v>44</v>
      </c>
      <c r="D72" s="94" t="s">
        <v>2</v>
      </c>
      <c r="E72" s="94" t="s">
        <v>73</v>
      </c>
      <c r="F72" s="167" t="s">
        <v>55</v>
      </c>
    </row>
    <row r="73" spans="1:6" x14ac:dyDescent="0.25">
      <c r="A73" s="94" t="s">
        <v>56</v>
      </c>
      <c r="B73" s="94" t="s">
        <v>40</v>
      </c>
      <c r="C73" s="94" t="s">
        <v>44</v>
      </c>
      <c r="D73" s="94" t="s">
        <v>38</v>
      </c>
      <c r="E73" s="94" t="s">
        <v>73</v>
      </c>
      <c r="F73" s="167" t="s">
        <v>55</v>
      </c>
    </row>
    <row r="74" spans="1:6" x14ac:dyDescent="0.25">
      <c r="A74" s="94" t="s">
        <v>56</v>
      </c>
      <c r="B74" s="94" t="s">
        <v>40</v>
      </c>
      <c r="C74" s="94" t="s">
        <v>44</v>
      </c>
      <c r="D74" s="94" t="s">
        <v>39</v>
      </c>
      <c r="E74" s="94" t="s">
        <v>73</v>
      </c>
      <c r="F74" s="167" t="s">
        <v>55</v>
      </c>
    </row>
    <row r="75" spans="1:6" x14ac:dyDescent="0.25">
      <c r="A75" s="94" t="s">
        <v>56</v>
      </c>
      <c r="B75" s="94" t="s">
        <v>40</v>
      </c>
      <c r="C75" s="94" t="s">
        <v>44</v>
      </c>
      <c r="D75" s="94" t="s">
        <v>3</v>
      </c>
      <c r="E75" s="94" t="s">
        <v>73</v>
      </c>
      <c r="F75" s="167" t="s">
        <v>55</v>
      </c>
    </row>
    <row r="76" spans="1:6" x14ac:dyDescent="0.25">
      <c r="A76" s="94" t="s">
        <v>56</v>
      </c>
      <c r="B76" s="94" t="s">
        <v>40</v>
      </c>
      <c r="C76" s="94" t="s">
        <v>48</v>
      </c>
      <c r="D76" s="94" t="s">
        <v>2</v>
      </c>
      <c r="E76" s="94" t="s">
        <v>73</v>
      </c>
      <c r="F76" s="167" t="s">
        <v>55</v>
      </c>
    </row>
    <row r="77" spans="1:6" x14ac:dyDescent="0.25">
      <c r="A77" s="94" t="s">
        <v>56</v>
      </c>
      <c r="B77" s="94" t="s">
        <v>40</v>
      </c>
      <c r="C77" s="94" t="s">
        <v>49</v>
      </c>
      <c r="D77" s="94" t="s">
        <v>2</v>
      </c>
      <c r="E77" s="94" t="s">
        <v>73</v>
      </c>
      <c r="F77" s="167" t="s">
        <v>55</v>
      </c>
    </row>
    <row r="78" spans="1:6" x14ac:dyDescent="0.25">
      <c r="A78" s="94" t="s">
        <v>45</v>
      </c>
      <c r="B78" s="94" t="s">
        <v>43</v>
      </c>
      <c r="C78" s="94" t="s">
        <v>46</v>
      </c>
      <c r="D78" s="94" t="s">
        <v>2</v>
      </c>
      <c r="E78" s="94" t="s">
        <v>71</v>
      </c>
      <c r="F78" s="167" t="s">
        <v>55</v>
      </c>
    </row>
    <row r="79" spans="1:6" x14ac:dyDescent="0.25">
      <c r="A79" s="94" t="s">
        <v>45</v>
      </c>
      <c r="B79" s="94" t="s">
        <v>43</v>
      </c>
      <c r="C79" s="94" t="s">
        <v>46</v>
      </c>
      <c r="D79" s="94" t="s">
        <v>2</v>
      </c>
      <c r="E79" s="94" t="s">
        <v>72</v>
      </c>
      <c r="F79" s="167" t="s">
        <v>55</v>
      </c>
    </row>
    <row r="80" spans="1:6" x14ac:dyDescent="0.25">
      <c r="A80" s="94" t="s">
        <v>45</v>
      </c>
      <c r="B80" s="94" t="s">
        <v>43</v>
      </c>
      <c r="C80" s="94" t="s">
        <v>46</v>
      </c>
      <c r="D80" s="94" t="s">
        <v>2</v>
      </c>
      <c r="E80" s="94" t="s">
        <v>73</v>
      </c>
      <c r="F80" s="167" t="s">
        <v>55</v>
      </c>
    </row>
    <row r="81" spans="1:6" x14ac:dyDescent="0.25">
      <c r="A81" s="94" t="s">
        <v>45</v>
      </c>
      <c r="B81" s="94" t="s">
        <v>43</v>
      </c>
      <c r="C81" s="94" t="s">
        <v>46</v>
      </c>
      <c r="D81" s="94" t="s">
        <v>38</v>
      </c>
      <c r="E81" s="94" t="s">
        <v>71</v>
      </c>
      <c r="F81" s="167" t="s">
        <v>55</v>
      </c>
    </row>
    <row r="82" spans="1:6" x14ac:dyDescent="0.25">
      <c r="A82" s="94" t="s">
        <v>45</v>
      </c>
      <c r="B82" s="94" t="s">
        <v>43</v>
      </c>
      <c r="C82" s="94" t="s">
        <v>46</v>
      </c>
      <c r="D82" s="94" t="s">
        <v>38</v>
      </c>
      <c r="E82" s="94" t="s">
        <v>72</v>
      </c>
      <c r="F82" s="167" t="s">
        <v>55</v>
      </c>
    </row>
    <row r="83" spans="1:6" x14ac:dyDescent="0.25">
      <c r="A83" s="94" t="s">
        <v>45</v>
      </c>
      <c r="B83" s="94" t="s">
        <v>43</v>
      </c>
      <c r="C83" s="94" t="s">
        <v>46</v>
      </c>
      <c r="D83" s="94" t="s">
        <v>38</v>
      </c>
      <c r="E83" s="94" t="s">
        <v>73</v>
      </c>
      <c r="F83" s="167" t="s">
        <v>55</v>
      </c>
    </row>
    <row r="84" spans="1:6" x14ac:dyDescent="0.25">
      <c r="A84" s="94" t="s">
        <v>45</v>
      </c>
      <c r="B84" s="94" t="s">
        <v>43</v>
      </c>
      <c r="C84" s="94" t="s">
        <v>46</v>
      </c>
      <c r="D84" s="94" t="s">
        <v>39</v>
      </c>
      <c r="E84" s="94" t="s">
        <v>71</v>
      </c>
      <c r="F84" s="167" t="s">
        <v>55</v>
      </c>
    </row>
    <row r="85" spans="1:6" x14ac:dyDescent="0.25">
      <c r="A85" s="94" t="s">
        <v>45</v>
      </c>
      <c r="B85" s="94" t="s">
        <v>43</v>
      </c>
      <c r="C85" s="94" t="s">
        <v>46</v>
      </c>
      <c r="D85" s="94" t="s">
        <v>39</v>
      </c>
      <c r="E85" s="94" t="s">
        <v>72</v>
      </c>
      <c r="F85" s="167" t="s">
        <v>55</v>
      </c>
    </row>
    <row r="86" spans="1:6" x14ac:dyDescent="0.25">
      <c r="A86" s="94" t="s">
        <v>45</v>
      </c>
      <c r="B86" s="94" t="s">
        <v>43</v>
      </c>
      <c r="C86" s="94" t="s">
        <v>46</v>
      </c>
      <c r="D86" s="94" t="s">
        <v>39</v>
      </c>
      <c r="E86" s="94" t="s">
        <v>73</v>
      </c>
      <c r="F86" s="167" t="s">
        <v>55</v>
      </c>
    </row>
    <row r="87" spans="1:6" x14ac:dyDescent="0.25">
      <c r="A87" s="94" t="s">
        <v>45</v>
      </c>
      <c r="B87" s="94" t="s">
        <v>43</v>
      </c>
      <c r="C87" s="94" t="s">
        <v>46</v>
      </c>
      <c r="D87" s="94" t="s">
        <v>3</v>
      </c>
      <c r="E87" s="94" t="s">
        <v>71</v>
      </c>
      <c r="F87" s="167" t="s">
        <v>55</v>
      </c>
    </row>
    <row r="88" spans="1:6" x14ac:dyDescent="0.25">
      <c r="A88" s="94" t="s">
        <v>45</v>
      </c>
      <c r="B88" s="94" t="s">
        <v>43</v>
      </c>
      <c r="C88" s="94" t="s">
        <v>46</v>
      </c>
      <c r="D88" s="94" t="s">
        <v>3</v>
      </c>
      <c r="E88" s="94" t="s">
        <v>72</v>
      </c>
      <c r="F88" s="167" t="s">
        <v>55</v>
      </c>
    </row>
    <row r="89" spans="1:6" x14ac:dyDescent="0.25">
      <c r="A89" s="94" t="s">
        <v>45</v>
      </c>
      <c r="B89" s="94" t="s">
        <v>43</v>
      </c>
      <c r="C89" s="94" t="s">
        <v>46</v>
      </c>
      <c r="D89" s="94" t="s">
        <v>3</v>
      </c>
      <c r="E89" s="94" t="s">
        <v>73</v>
      </c>
      <c r="F89" s="167" t="s">
        <v>55</v>
      </c>
    </row>
    <row r="90" spans="1:6" x14ac:dyDescent="0.25">
      <c r="A90" s="94" t="s">
        <v>45</v>
      </c>
      <c r="B90" s="94" t="s">
        <v>43</v>
      </c>
      <c r="C90" s="94" t="s">
        <v>47</v>
      </c>
      <c r="D90" s="94" t="s">
        <v>2</v>
      </c>
      <c r="E90" s="94" t="s">
        <v>71</v>
      </c>
      <c r="F90" s="167" t="s">
        <v>55</v>
      </c>
    </row>
    <row r="91" spans="1:6" x14ac:dyDescent="0.25">
      <c r="A91" s="94" t="s">
        <v>45</v>
      </c>
      <c r="B91" s="94" t="s">
        <v>43</v>
      </c>
      <c r="C91" s="94" t="s">
        <v>47</v>
      </c>
      <c r="D91" s="94" t="s">
        <v>2</v>
      </c>
      <c r="E91" s="94" t="s">
        <v>72</v>
      </c>
      <c r="F91" s="167" t="s">
        <v>55</v>
      </c>
    </row>
    <row r="92" spans="1:6" x14ac:dyDescent="0.25">
      <c r="A92" s="94" t="s">
        <v>45</v>
      </c>
      <c r="B92" s="94" t="s">
        <v>43</v>
      </c>
      <c r="C92" s="94" t="s">
        <v>47</v>
      </c>
      <c r="D92" s="94" t="s">
        <v>2</v>
      </c>
      <c r="E92" s="94" t="s">
        <v>73</v>
      </c>
      <c r="F92" s="167" t="s">
        <v>55</v>
      </c>
    </row>
    <row r="93" spans="1:6" x14ac:dyDescent="0.25">
      <c r="A93" s="94" t="s">
        <v>45</v>
      </c>
      <c r="B93" s="94" t="s">
        <v>43</v>
      </c>
      <c r="C93" s="94" t="s">
        <v>47</v>
      </c>
      <c r="D93" s="94" t="s">
        <v>38</v>
      </c>
      <c r="E93" s="94" t="s">
        <v>71</v>
      </c>
      <c r="F93" s="167" t="s">
        <v>55</v>
      </c>
    </row>
    <row r="94" spans="1:6" x14ac:dyDescent="0.25">
      <c r="A94" s="94" t="s">
        <v>45</v>
      </c>
      <c r="B94" s="94" t="s">
        <v>43</v>
      </c>
      <c r="C94" s="94" t="s">
        <v>47</v>
      </c>
      <c r="D94" s="94" t="s">
        <v>38</v>
      </c>
      <c r="E94" s="94" t="s">
        <v>72</v>
      </c>
      <c r="F94" s="167" t="s">
        <v>55</v>
      </c>
    </row>
    <row r="95" spans="1:6" x14ac:dyDescent="0.25">
      <c r="A95" s="94" t="s">
        <v>45</v>
      </c>
      <c r="B95" s="94" t="s">
        <v>43</v>
      </c>
      <c r="C95" s="94" t="s">
        <v>47</v>
      </c>
      <c r="D95" s="94" t="s">
        <v>38</v>
      </c>
      <c r="E95" s="94" t="s">
        <v>73</v>
      </c>
      <c r="F95" s="167" t="s">
        <v>55</v>
      </c>
    </row>
    <row r="96" spans="1:6" x14ac:dyDescent="0.25">
      <c r="A96" s="94" t="s">
        <v>45</v>
      </c>
      <c r="B96" s="94" t="s">
        <v>43</v>
      </c>
      <c r="C96" s="94" t="s">
        <v>47</v>
      </c>
      <c r="D96" s="94" t="s">
        <v>39</v>
      </c>
      <c r="E96" s="94" t="s">
        <v>71</v>
      </c>
      <c r="F96" s="167" t="s">
        <v>55</v>
      </c>
    </row>
    <row r="97" spans="1:6" x14ac:dyDescent="0.25">
      <c r="A97" s="94" t="s">
        <v>45</v>
      </c>
      <c r="B97" s="94" t="s">
        <v>43</v>
      </c>
      <c r="C97" s="94" t="s">
        <v>47</v>
      </c>
      <c r="D97" s="94" t="s">
        <v>39</v>
      </c>
      <c r="E97" s="94" t="s">
        <v>72</v>
      </c>
      <c r="F97" s="167" t="s">
        <v>55</v>
      </c>
    </row>
    <row r="98" spans="1:6" x14ac:dyDescent="0.25">
      <c r="A98" s="94" t="s">
        <v>45</v>
      </c>
      <c r="B98" s="94" t="s">
        <v>43</v>
      </c>
      <c r="C98" s="94" t="s">
        <v>47</v>
      </c>
      <c r="D98" s="94" t="s">
        <v>39</v>
      </c>
      <c r="E98" s="94" t="s">
        <v>73</v>
      </c>
      <c r="F98" s="167" t="s">
        <v>55</v>
      </c>
    </row>
    <row r="99" spans="1:6" x14ac:dyDescent="0.25">
      <c r="A99" s="94" t="s">
        <v>45</v>
      </c>
      <c r="B99" s="94" t="s">
        <v>43</v>
      </c>
      <c r="C99" s="94" t="s">
        <v>47</v>
      </c>
      <c r="D99" s="94" t="s">
        <v>3</v>
      </c>
      <c r="E99" s="94" t="s">
        <v>71</v>
      </c>
      <c r="F99" s="167" t="s">
        <v>55</v>
      </c>
    </row>
    <row r="100" spans="1:6" x14ac:dyDescent="0.25">
      <c r="A100" s="94" t="s">
        <v>45</v>
      </c>
      <c r="B100" s="94" t="s">
        <v>43</v>
      </c>
      <c r="C100" s="94" t="s">
        <v>47</v>
      </c>
      <c r="D100" s="94" t="s">
        <v>3</v>
      </c>
      <c r="E100" s="94" t="s">
        <v>72</v>
      </c>
      <c r="F100" s="167" t="s">
        <v>55</v>
      </c>
    </row>
    <row r="101" spans="1:6" x14ac:dyDescent="0.25">
      <c r="A101" s="94" t="s">
        <v>45</v>
      </c>
      <c r="B101" s="94" t="s">
        <v>43</v>
      </c>
      <c r="C101" s="94" t="s">
        <v>47</v>
      </c>
      <c r="D101" s="94" t="s">
        <v>3</v>
      </c>
      <c r="E101" s="94" t="s">
        <v>73</v>
      </c>
      <c r="F101" s="167" t="s">
        <v>55</v>
      </c>
    </row>
    <row r="102" spans="1:6" x14ac:dyDescent="0.25">
      <c r="A102" s="94" t="s">
        <v>45</v>
      </c>
      <c r="B102" s="94" t="s">
        <v>41</v>
      </c>
      <c r="C102" s="94" t="s">
        <v>46</v>
      </c>
      <c r="D102" s="94" t="s">
        <v>2</v>
      </c>
      <c r="E102" s="94" t="s">
        <v>72</v>
      </c>
      <c r="F102" s="167" t="s">
        <v>55</v>
      </c>
    </row>
    <row r="103" spans="1:6" x14ac:dyDescent="0.25">
      <c r="A103" s="94" t="s">
        <v>45</v>
      </c>
      <c r="B103" s="94" t="s">
        <v>41</v>
      </c>
      <c r="C103" s="94" t="s">
        <v>46</v>
      </c>
      <c r="D103" s="94" t="s">
        <v>2</v>
      </c>
      <c r="E103" s="94" t="s">
        <v>73</v>
      </c>
      <c r="F103" s="167" t="s">
        <v>55</v>
      </c>
    </row>
    <row r="104" spans="1:6" x14ac:dyDescent="0.25">
      <c r="A104" s="94" t="s">
        <v>45</v>
      </c>
      <c r="B104" s="94" t="s">
        <v>41</v>
      </c>
      <c r="C104" s="94" t="s">
        <v>46</v>
      </c>
      <c r="D104" s="94" t="s">
        <v>38</v>
      </c>
      <c r="E104" s="94" t="s">
        <v>72</v>
      </c>
      <c r="F104" s="167" t="s">
        <v>55</v>
      </c>
    </row>
    <row r="105" spans="1:6" x14ac:dyDescent="0.25">
      <c r="A105" s="94" t="s">
        <v>45</v>
      </c>
      <c r="B105" s="94" t="s">
        <v>41</v>
      </c>
      <c r="C105" s="94" t="s">
        <v>46</v>
      </c>
      <c r="D105" s="94" t="s">
        <v>38</v>
      </c>
      <c r="E105" s="94" t="s">
        <v>73</v>
      </c>
      <c r="F105" s="167" t="s">
        <v>55</v>
      </c>
    </row>
    <row r="106" spans="1:6" x14ac:dyDescent="0.25">
      <c r="A106" s="94" t="s">
        <v>45</v>
      </c>
      <c r="B106" s="94" t="s">
        <v>41</v>
      </c>
      <c r="C106" s="94" t="s">
        <v>46</v>
      </c>
      <c r="D106" s="94" t="s">
        <v>39</v>
      </c>
      <c r="E106" s="94" t="s">
        <v>72</v>
      </c>
      <c r="F106" s="167" t="s">
        <v>55</v>
      </c>
    </row>
    <row r="107" spans="1:6" x14ac:dyDescent="0.25">
      <c r="A107" s="94" t="s">
        <v>45</v>
      </c>
      <c r="B107" s="94" t="s">
        <v>41</v>
      </c>
      <c r="C107" s="94" t="s">
        <v>46</v>
      </c>
      <c r="D107" s="94" t="s">
        <v>39</v>
      </c>
      <c r="E107" s="94" t="s">
        <v>73</v>
      </c>
      <c r="F107" s="167" t="s">
        <v>55</v>
      </c>
    </row>
    <row r="108" spans="1:6" x14ac:dyDescent="0.25">
      <c r="A108" s="94" t="s">
        <v>45</v>
      </c>
      <c r="B108" s="94" t="s">
        <v>41</v>
      </c>
      <c r="C108" s="94" t="s">
        <v>46</v>
      </c>
      <c r="D108" s="94" t="s">
        <v>3</v>
      </c>
      <c r="E108" s="94" t="s">
        <v>72</v>
      </c>
      <c r="F108" s="167" t="s">
        <v>55</v>
      </c>
    </row>
    <row r="109" spans="1:6" x14ac:dyDescent="0.25">
      <c r="A109" s="94" t="s">
        <v>45</v>
      </c>
      <c r="B109" s="94" t="s">
        <v>41</v>
      </c>
      <c r="C109" s="94" t="s">
        <v>46</v>
      </c>
      <c r="D109" s="94" t="s">
        <v>3</v>
      </c>
      <c r="E109" s="94" t="s">
        <v>73</v>
      </c>
      <c r="F109" s="167" t="s">
        <v>55</v>
      </c>
    </row>
    <row r="110" spans="1:6" x14ac:dyDescent="0.25">
      <c r="A110" s="94" t="s">
        <v>45</v>
      </c>
      <c r="B110" s="94" t="s">
        <v>41</v>
      </c>
      <c r="C110" s="94" t="s">
        <v>47</v>
      </c>
      <c r="D110" s="94" t="s">
        <v>2</v>
      </c>
      <c r="E110" s="94" t="s">
        <v>72</v>
      </c>
      <c r="F110" s="167" t="s">
        <v>55</v>
      </c>
    </row>
    <row r="111" spans="1:6" x14ac:dyDescent="0.25">
      <c r="A111" s="94" t="s">
        <v>45</v>
      </c>
      <c r="B111" s="94" t="s">
        <v>41</v>
      </c>
      <c r="C111" s="94" t="s">
        <v>47</v>
      </c>
      <c r="D111" s="94" t="s">
        <v>2</v>
      </c>
      <c r="E111" s="94" t="s">
        <v>73</v>
      </c>
      <c r="F111" s="167" t="s">
        <v>55</v>
      </c>
    </row>
    <row r="112" spans="1:6" x14ac:dyDescent="0.25">
      <c r="A112" s="94" t="s">
        <v>45</v>
      </c>
      <c r="B112" s="94" t="s">
        <v>41</v>
      </c>
      <c r="C112" s="94" t="s">
        <v>47</v>
      </c>
      <c r="D112" s="94" t="s">
        <v>38</v>
      </c>
      <c r="E112" s="94" t="s">
        <v>72</v>
      </c>
      <c r="F112" s="167" t="s">
        <v>55</v>
      </c>
    </row>
    <row r="113" spans="1:6" x14ac:dyDescent="0.25">
      <c r="A113" s="94" t="s">
        <v>45</v>
      </c>
      <c r="B113" s="94" t="s">
        <v>41</v>
      </c>
      <c r="C113" s="94" t="s">
        <v>47</v>
      </c>
      <c r="D113" s="94" t="s">
        <v>38</v>
      </c>
      <c r="E113" s="94" t="s">
        <v>73</v>
      </c>
      <c r="F113" s="167" t="s">
        <v>55</v>
      </c>
    </row>
    <row r="114" spans="1:6" x14ac:dyDescent="0.25">
      <c r="A114" s="94" t="s">
        <v>45</v>
      </c>
      <c r="B114" s="94" t="s">
        <v>41</v>
      </c>
      <c r="C114" s="94" t="s">
        <v>47</v>
      </c>
      <c r="D114" s="94" t="s">
        <v>39</v>
      </c>
      <c r="E114" s="94" t="s">
        <v>72</v>
      </c>
      <c r="F114" s="167" t="s">
        <v>55</v>
      </c>
    </row>
    <row r="115" spans="1:6" x14ac:dyDescent="0.25">
      <c r="A115" s="94" t="s">
        <v>45</v>
      </c>
      <c r="B115" s="94" t="s">
        <v>41</v>
      </c>
      <c r="C115" s="94" t="s">
        <v>47</v>
      </c>
      <c r="D115" s="94" t="s">
        <v>39</v>
      </c>
      <c r="E115" s="94" t="s">
        <v>73</v>
      </c>
      <c r="F115" s="167" t="s">
        <v>55</v>
      </c>
    </row>
    <row r="116" spans="1:6" x14ac:dyDescent="0.25">
      <c r="A116" s="94" t="s">
        <v>45</v>
      </c>
      <c r="B116" s="94" t="s">
        <v>41</v>
      </c>
      <c r="C116" s="94" t="s">
        <v>47</v>
      </c>
      <c r="D116" s="94" t="s">
        <v>3</v>
      </c>
      <c r="E116" s="94" t="s">
        <v>72</v>
      </c>
      <c r="F116" s="167" t="s">
        <v>55</v>
      </c>
    </row>
    <row r="117" spans="1:6" x14ac:dyDescent="0.25">
      <c r="A117" s="94" t="s">
        <v>45</v>
      </c>
      <c r="B117" s="94" t="s">
        <v>41</v>
      </c>
      <c r="C117" s="94" t="s">
        <v>47</v>
      </c>
      <c r="D117" s="94" t="s">
        <v>3</v>
      </c>
      <c r="E117" s="94" t="s">
        <v>73</v>
      </c>
      <c r="F117" s="167" t="s">
        <v>55</v>
      </c>
    </row>
    <row r="118" spans="1:6" x14ac:dyDescent="0.25">
      <c r="A118" s="94" t="s">
        <v>45</v>
      </c>
      <c r="B118" s="94" t="s">
        <v>41</v>
      </c>
      <c r="C118" s="94" t="s">
        <v>44</v>
      </c>
      <c r="D118" s="94" t="s">
        <v>2</v>
      </c>
      <c r="E118" s="94" t="s">
        <v>73</v>
      </c>
      <c r="F118" s="167" t="s">
        <v>55</v>
      </c>
    </row>
    <row r="119" spans="1:6" x14ac:dyDescent="0.25">
      <c r="A119" s="94" t="s">
        <v>45</v>
      </c>
      <c r="B119" s="94" t="s">
        <v>41</v>
      </c>
      <c r="C119" s="94" t="s">
        <v>44</v>
      </c>
      <c r="D119" s="94" t="s">
        <v>38</v>
      </c>
      <c r="E119" s="94" t="s">
        <v>73</v>
      </c>
      <c r="F119" s="167" t="s">
        <v>55</v>
      </c>
    </row>
    <row r="120" spans="1:6" x14ac:dyDescent="0.25">
      <c r="A120" s="94" t="s">
        <v>45</v>
      </c>
      <c r="B120" s="94" t="s">
        <v>41</v>
      </c>
      <c r="C120" s="94" t="s">
        <v>44</v>
      </c>
      <c r="D120" s="94" t="s">
        <v>39</v>
      </c>
      <c r="E120" s="94" t="s">
        <v>73</v>
      </c>
      <c r="F120" s="167" t="s">
        <v>55</v>
      </c>
    </row>
    <row r="121" spans="1:6" x14ac:dyDescent="0.25">
      <c r="A121" s="94" t="s">
        <v>45</v>
      </c>
      <c r="B121" s="94" t="s">
        <v>41</v>
      </c>
      <c r="C121" s="94" t="s">
        <v>44</v>
      </c>
      <c r="D121" s="94" t="s">
        <v>3</v>
      </c>
      <c r="E121" s="94" t="s">
        <v>73</v>
      </c>
      <c r="F121" s="167" t="s">
        <v>55</v>
      </c>
    </row>
    <row r="122" spans="1:6" x14ac:dyDescent="0.25">
      <c r="A122" s="94" t="s">
        <v>45</v>
      </c>
      <c r="B122" s="94" t="s">
        <v>41</v>
      </c>
      <c r="C122" s="94" t="s">
        <v>48</v>
      </c>
      <c r="D122" s="94" t="s">
        <v>2</v>
      </c>
      <c r="E122" s="94" t="s">
        <v>73</v>
      </c>
      <c r="F122" s="167" t="s">
        <v>55</v>
      </c>
    </row>
    <row r="123" spans="1:6" x14ac:dyDescent="0.25">
      <c r="A123" s="94" t="s">
        <v>45</v>
      </c>
      <c r="B123" s="94" t="s">
        <v>41</v>
      </c>
      <c r="C123" s="94" t="s">
        <v>49</v>
      </c>
      <c r="D123" s="94" t="s">
        <v>2</v>
      </c>
      <c r="E123" s="94" t="s">
        <v>73</v>
      </c>
      <c r="F123" s="167" t="s">
        <v>55</v>
      </c>
    </row>
    <row r="124" spans="1:6" x14ac:dyDescent="0.25">
      <c r="A124" s="94" t="s">
        <v>45</v>
      </c>
      <c r="B124" s="94" t="s">
        <v>40</v>
      </c>
      <c r="C124" s="94" t="s">
        <v>46</v>
      </c>
      <c r="D124" s="94" t="s">
        <v>2</v>
      </c>
      <c r="E124" s="94" t="s">
        <v>72</v>
      </c>
      <c r="F124" s="167" t="s">
        <v>55</v>
      </c>
    </row>
    <row r="125" spans="1:6" x14ac:dyDescent="0.25">
      <c r="A125" s="94" t="s">
        <v>45</v>
      </c>
      <c r="B125" s="94" t="s">
        <v>40</v>
      </c>
      <c r="C125" s="94" t="s">
        <v>46</v>
      </c>
      <c r="D125" s="94" t="s">
        <v>2</v>
      </c>
      <c r="E125" s="94" t="s">
        <v>73</v>
      </c>
      <c r="F125" s="167" t="s">
        <v>55</v>
      </c>
    </row>
    <row r="126" spans="1:6" x14ac:dyDescent="0.25">
      <c r="A126" s="94" t="s">
        <v>45</v>
      </c>
      <c r="B126" s="94" t="s">
        <v>40</v>
      </c>
      <c r="C126" s="94" t="s">
        <v>46</v>
      </c>
      <c r="D126" s="94" t="s">
        <v>38</v>
      </c>
      <c r="E126" s="94" t="s">
        <v>72</v>
      </c>
      <c r="F126" s="167" t="s">
        <v>55</v>
      </c>
    </row>
    <row r="127" spans="1:6" x14ac:dyDescent="0.25">
      <c r="A127" s="94" t="s">
        <v>45</v>
      </c>
      <c r="B127" s="94" t="s">
        <v>40</v>
      </c>
      <c r="C127" s="94" t="s">
        <v>46</v>
      </c>
      <c r="D127" s="94" t="s">
        <v>38</v>
      </c>
      <c r="E127" s="94" t="s">
        <v>73</v>
      </c>
      <c r="F127" s="167" t="s">
        <v>55</v>
      </c>
    </row>
    <row r="128" spans="1:6" x14ac:dyDescent="0.25">
      <c r="A128" s="94" t="s">
        <v>45</v>
      </c>
      <c r="B128" s="94" t="s">
        <v>40</v>
      </c>
      <c r="C128" s="94" t="s">
        <v>46</v>
      </c>
      <c r="D128" s="94" t="s">
        <v>39</v>
      </c>
      <c r="E128" s="94" t="s">
        <v>72</v>
      </c>
      <c r="F128" s="167" t="s">
        <v>55</v>
      </c>
    </row>
    <row r="129" spans="1:6" x14ac:dyDescent="0.25">
      <c r="A129" s="94" t="s">
        <v>45</v>
      </c>
      <c r="B129" s="94" t="s">
        <v>40</v>
      </c>
      <c r="C129" s="94" t="s">
        <v>46</v>
      </c>
      <c r="D129" s="94" t="s">
        <v>39</v>
      </c>
      <c r="E129" s="94" t="s">
        <v>73</v>
      </c>
      <c r="F129" s="167" t="s">
        <v>55</v>
      </c>
    </row>
    <row r="130" spans="1:6" x14ac:dyDescent="0.25">
      <c r="A130" s="94" t="s">
        <v>45</v>
      </c>
      <c r="B130" s="94" t="s">
        <v>40</v>
      </c>
      <c r="C130" s="94" t="s">
        <v>46</v>
      </c>
      <c r="D130" s="94" t="s">
        <v>3</v>
      </c>
      <c r="E130" s="94" t="s">
        <v>72</v>
      </c>
      <c r="F130" s="167" t="s">
        <v>55</v>
      </c>
    </row>
    <row r="131" spans="1:6" x14ac:dyDescent="0.25">
      <c r="A131" s="94" t="s">
        <v>45</v>
      </c>
      <c r="B131" s="94" t="s">
        <v>40</v>
      </c>
      <c r="C131" s="94" t="s">
        <v>46</v>
      </c>
      <c r="D131" s="94" t="s">
        <v>3</v>
      </c>
      <c r="E131" s="94" t="s">
        <v>73</v>
      </c>
      <c r="F131" s="167" t="s">
        <v>55</v>
      </c>
    </row>
    <row r="132" spans="1:6" x14ac:dyDescent="0.25">
      <c r="A132" s="94" t="s">
        <v>45</v>
      </c>
      <c r="B132" s="94" t="s">
        <v>40</v>
      </c>
      <c r="C132" s="94" t="s">
        <v>47</v>
      </c>
      <c r="D132" s="94" t="s">
        <v>2</v>
      </c>
      <c r="E132" s="94" t="s">
        <v>72</v>
      </c>
      <c r="F132" s="167" t="s">
        <v>55</v>
      </c>
    </row>
    <row r="133" spans="1:6" x14ac:dyDescent="0.25">
      <c r="A133" s="94" t="s">
        <v>45</v>
      </c>
      <c r="B133" s="94" t="s">
        <v>40</v>
      </c>
      <c r="C133" s="94" t="s">
        <v>47</v>
      </c>
      <c r="D133" s="94" t="s">
        <v>2</v>
      </c>
      <c r="E133" s="94" t="s">
        <v>73</v>
      </c>
      <c r="F133" s="167" t="s">
        <v>55</v>
      </c>
    </row>
    <row r="134" spans="1:6" x14ac:dyDescent="0.25">
      <c r="A134" s="94" t="s">
        <v>45</v>
      </c>
      <c r="B134" s="94" t="s">
        <v>40</v>
      </c>
      <c r="C134" s="94" t="s">
        <v>47</v>
      </c>
      <c r="D134" s="94" t="s">
        <v>38</v>
      </c>
      <c r="E134" s="94" t="s">
        <v>72</v>
      </c>
      <c r="F134" s="167" t="s">
        <v>55</v>
      </c>
    </row>
    <row r="135" spans="1:6" x14ac:dyDescent="0.25">
      <c r="A135" s="94" t="s">
        <v>45</v>
      </c>
      <c r="B135" s="94" t="s">
        <v>40</v>
      </c>
      <c r="C135" s="94" t="s">
        <v>47</v>
      </c>
      <c r="D135" s="94" t="s">
        <v>38</v>
      </c>
      <c r="E135" s="94" t="s">
        <v>73</v>
      </c>
      <c r="F135" s="167" t="s">
        <v>55</v>
      </c>
    </row>
    <row r="136" spans="1:6" x14ac:dyDescent="0.25">
      <c r="A136" s="94" t="s">
        <v>45</v>
      </c>
      <c r="B136" s="94" t="s">
        <v>40</v>
      </c>
      <c r="C136" s="94" t="s">
        <v>47</v>
      </c>
      <c r="D136" s="94" t="s">
        <v>39</v>
      </c>
      <c r="E136" s="94" t="s">
        <v>72</v>
      </c>
      <c r="F136" s="167" t="s">
        <v>55</v>
      </c>
    </row>
    <row r="137" spans="1:6" x14ac:dyDescent="0.25">
      <c r="A137" s="94" t="s">
        <v>45</v>
      </c>
      <c r="B137" s="94" t="s">
        <v>40</v>
      </c>
      <c r="C137" s="94" t="s">
        <v>47</v>
      </c>
      <c r="D137" s="94" t="s">
        <v>39</v>
      </c>
      <c r="E137" s="94" t="s">
        <v>73</v>
      </c>
      <c r="F137" s="167" t="s">
        <v>55</v>
      </c>
    </row>
    <row r="138" spans="1:6" x14ac:dyDescent="0.25">
      <c r="A138" s="94" t="s">
        <v>45</v>
      </c>
      <c r="B138" s="94" t="s">
        <v>40</v>
      </c>
      <c r="C138" s="94" t="s">
        <v>47</v>
      </c>
      <c r="D138" s="94" t="s">
        <v>3</v>
      </c>
      <c r="E138" s="94" t="s">
        <v>72</v>
      </c>
      <c r="F138" s="167" t="s">
        <v>55</v>
      </c>
    </row>
    <row r="139" spans="1:6" x14ac:dyDescent="0.25">
      <c r="A139" s="94" t="s">
        <v>45</v>
      </c>
      <c r="B139" s="94" t="s">
        <v>40</v>
      </c>
      <c r="C139" s="94" t="s">
        <v>47</v>
      </c>
      <c r="D139" s="94" t="s">
        <v>3</v>
      </c>
      <c r="E139" s="94" t="s">
        <v>73</v>
      </c>
      <c r="F139" s="167" t="s">
        <v>55</v>
      </c>
    </row>
    <row r="140" spans="1:6" x14ac:dyDescent="0.25">
      <c r="A140" s="94" t="s">
        <v>45</v>
      </c>
      <c r="B140" s="94" t="s">
        <v>40</v>
      </c>
      <c r="C140" s="94" t="s">
        <v>44</v>
      </c>
      <c r="D140" s="94" t="s">
        <v>2</v>
      </c>
      <c r="E140" s="94" t="s">
        <v>73</v>
      </c>
      <c r="F140" s="167" t="s">
        <v>55</v>
      </c>
    </row>
    <row r="141" spans="1:6" x14ac:dyDescent="0.25">
      <c r="A141" s="94" t="s">
        <v>45</v>
      </c>
      <c r="B141" s="94" t="s">
        <v>40</v>
      </c>
      <c r="C141" s="94" t="s">
        <v>44</v>
      </c>
      <c r="D141" s="94" t="s">
        <v>38</v>
      </c>
      <c r="E141" s="94" t="s">
        <v>73</v>
      </c>
      <c r="F141" s="167" t="s">
        <v>55</v>
      </c>
    </row>
    <row r="142" spans="1:6" x14ac:dyDescent="0.25">
      <c r="A142" s="94" t="s">
        <v>45</v>
      </c>
      <c r="B142" s="94" t="s">
        <v>40</v>
      </c>
      <c r="C142" s="94" t="s">
        <v>44</v>
      </c>
      <c r="D142" s="94" t="s">
        <v>39</v>
      </c>
      <c r="E142" s="94" t="s">
        <v>73</v>
      </c>
      <c r="F142" s="167" t="s">
        <v>55</v>
      </c>
    </row>
    <row r="143" spans="1:6" x14ac:dyDescent="0.25">
      <c r="A143" s="94" t="s">
        <v>45</v>
      </c>
      <c r="B143" s="94" t="s">
        <v>40</v>
      </c>
      <c r="C143" s="94" t="s">
        <v>44</v>
      </c>
      <c r="D143" s="94" t="s">
        <v>3</v>
      </c>
      <c r="E143" s="94" t="s">
        <v>73</v>
      </c>
      <c r="F143" s="167" t="s">
        <v>55</v>
      </c>
    </row>
    <row r="144" spans="1:6" x14ac:dyDescent="0.25">
      <c r="A144" s="94" t="s">
        <v>45</v>
      </c>
      <c r="B144" s="94" t="s">
        <v>40</v>
      </c>
      <c r="C144" s="94" t="s">
        <v>48</v>
      </c>
      <c r="D144" s="94" t="s">
        <v>2</v>
      </c>
      <c r="E144" s="94" t="s">
        <v>73</v>
      </c>
      <c r="F144" s="167" t="s">
        <v>55</v>
      </c>
    </row>
    <row r="145" spans="1:6" x14ac:dyDescent="0.25">
      <c r="A145" s="94" t="s">
        <v>45</v>
      </c>
      <c r="B145" s="94" t="s">
        <v>40</v>
      </c>
      <c r="C145" s="94" t="s">
        <v>49</v>
      </c>
      <c r="D145" s="94" t="s">
        <v>2</v>
      </c>
      <c r="E145" s="94" t="s">
        <v>73</v>
      </c>
      <c r="F145" s="167" t="s">
        <v>55</v>
      </c>
    </row>
  </sheetData>
  <dataConsolidate/>
  <hyperlinks>
    <hyperlink ref="F10" location="М_менее_670_ДЭ_ВН_1" display="Перейти"/>
    <hyperlink ref="F11" location="М_менее_670_ДЭ_ВН_3" display="М_менее_670_ДЭ_ВН_3"/>
    <hyperlink ref="F12" location="М_менее_670_ДЭ_ВН_4" display="М_менее_670_ДЭ_ВН_4"/>
    <hyperlink ref="F13" location="М_менее_670_ДЭ_СН1_1" display="М_менее_670_ДЭ_СН1_1"/>
    <hyperlink ref="F14" location="М_менее_670_ДЭ_СН1_3" display="М_менее_670_ДЭ_СН1_3"/>
    <hyperlink ref="F15" location="М_менее_670_ДЭ_СН1_4" display="М_менее_670_ДЭ_СН1_4"/>
    <hyperlink ref="F16" location="М_менее_670_ДЭ_СН2_1" display="М_менее_670_ДЭ_СН2_1"/>
    <hyperlink ref="F17" location="М_менее_670_ДЭ_СН2_3" display="М_менее_670_ДЭ_СН2_3"/>
    <hyperlink ref="F18" location="М_менее_670_ДЭ_СН2_4" display="М_менее_670_ДЭ_СН2_4"/>
    <hyperlink ref="F19" location="М_менее_670_ДЭ_НН_1" display="М_менее_670_ДЭ_НН_1"/>
    <hyperlink ref="F20" location="М_менее_670_ДЭ_НН_3" display="М_менее_670_ДЭ_НН_3"/>
    <hyperlink ref="F21" location="М_менее_670_ДЭ_НН_4" display="М_менее_670_ДЭ_НН_4"/>
    <hyperlink ref="F22" location="М_менее_670_ДКП_ВН_1" display="М_менее_670_ДКП_ВН_1"/>
    <hyperlink ref="F23" location="М_менее_670_ДКП_ВН_3" display="М_менее_670_ДКП_ВН_3"/>
    <hyperlink ref="F24" location="М_менее_670_ДКП_ВН_4" display="М_менее_670_ДКП_ВН_4"/>
    <hyperlink ref="F25" location="М_менее_670_ДКП_СН1_1" display="М_менее_670_ДКП_СН1_1"/>
    <hyperlink ref="F26" location="М_менее_670_ДКП_СН1_3" display="М_менее_670_ДКП_СН1_3"/>
    <hyperlink ref="F27" location="М_менее_670_ДКП_СН1_4" display="М_менее_670_ДКП_СН1_4"/>
    <hyperlink ref="F28" location="М_менее_670_ДКП_СН2_1" display="М_менее_670_ДКП_СН2_1"/>
    <hyperlink ref="F29" location="М_менее_670_ДКП_СН2_3" display="М_менее_670_ДКП_СН2_3"/>
    <hyperlink ref="F30" location="М_менее_670_ДКП_СН2_4" display="М_менее_670_ДКП_СН2_4"/>
    <hyperlink ref="F31" location="М_менее_670_ДКП_НН_1" display="М_менее_670_ДКП_НН_1"/>
    <hyperlink ref="F32" location="М_менее_670_ДКП_НН_3" display="М_менее_670_ДКП_НН_3"/>
    <hyperlink ref="F33" location="М_менее_670_ДКП_НН_4" display="М_менее_670_ДКП_НН_4"/>
    <hyperlink ref="F34" location="М_от_670_до_10_ДЭ_ВН_3" display="М_от_670_до_10_ДЭ_ВН_3"/>
    <hyperlink ref="F35" location="М_от_670_до_10_ДЭ_ВН_4" display="М_от_670_до_10_ДЭ_ВН_4"/>
    <hyperlink ref="F36" location="М_от_670_до_10_ДЭ_СН1_3" display="М_от_670_до_10_ДЭ_СН1_3"/>
    <hyperlink ref="F37" location="М_от_670_до_10_ДЭ_СН1_4" display="М_от_670_до_10_ДЭ_СН1_4"/>
    <hyperlink ref="F38" location="М_от_670_до_10_ДЭ_СН2_3" display="М_от_670_до_10_ДЭ_СН2_3"/>
    <hyperlink ref="F39" location="М_от_670_до_10_ДЭ_СН2_4" display="М_от_670_до_10_ДЭ_СН2_4"/>
    <hyperlink ref="F40" location="М_от_670_до_10_ДЭ_НН_3" display="М_от_670_до_10_ДЭ_НН_3"/>
    <hyperlink ref="F41" location="М_от_670_до_10_ДЭ_НН_4" display="М_от_670_до_10_ДЭ_НН_4"/>
    <hyperlink ref="F42" location="М_от_670_до_10_ДКП_ВН_3" display="М_от_670_до_10_ДКП_ВН_3"/>
    <hyperlink ref="F43" location="М_от_670_до_10_ДКП_ВН_4" display="М_от_670_до_10_ДКП_ВН_4"/>
    <hyperlink ref="F44" location="М_от_670_до_10_ДКП_СН1_3" display="М_от_670_до_10_ДКП_СН1_3"/>
    <hyperlink ref="F45" location="М_от_670_до_10_ДКП_СН1_4" display="М_от_670_до_10_ДКП_СН1_4"/>
    <hyperlink ref="F46" location="М_от_670_до_10_ДКП_СН2_3" display="М_от_670_до_10_ДКП_СН2_3"/>
    <hyperlink ref="F47" location="М_от_670_до_10_ДКП_СН2_4" display="М_от_670_до_10_ДКП_СН2_4"/>
    <hyperlink ref="F48" location="М_от_670_до_10_ДКП_НН_3" display="М_от_670_до_10_ДКП_НН_3"/>
    <hyperlink ref="F49" location="М_от_670_до_10_ДКП_НН_4" display="М_от_670_до_10_ДКП_НН_4"/>
    <hyperlink ref="F50" location="М_от_670_до_10_РУ_ПЭ_ВН_4" display="М_от_670_до_10_РУ_ПЭ_ВН_4"/>
    <hyperlink ref="F51" location="М_от_670_до_10_РУ_ПЭ_СН1_4" display="М_от_670_до_10_РУ_ПЭ_СН1_4"/>
    <hyperlink ref="F52" location="М_от_670_до_10_РУ_ПЭ_СН2_4" display="М_от_670_до_10_РУ_ПЭ_СН2_4"/>
    <hyperlink ref="F53" location="М_от_670_до_10_РУ_ПЭ_НН_4" display="М_от_670_до_10_РУ_ПЭ_НН_4"/>
    <hyperlink ref="F54" location="М_от_670_до_10_ЕНЭС220_ВН_4" display="М_от_670_до_10_ЕНЭС220_ВН_4"/>
    <hyperlink ref="F55" location="М_от_670_до_10_ЕНЭС330_ВН_4" display="М_от_670_до_10_ЕНЭС330_ВН_4"/>
    <hyperlink ref="F56" location="М_не_менее_10_ДЭ_ВН_3" display="М_не_менее_10_ДЭ_ВН_3"/>
    <hyperlink ref="F57" location="М_не_менее_10_ДЭ_ВН_4" display="М_не_менее_10_ДЭ_ВН_4"/>
    <hyperlink ref="F58" location="М_не_менее_10_ДЭ_СН1_3" display="М_не_менее_10_ДЭ_СН1_3"/>
    <hyperlink ref="F59" location="М_не_менее_10_ДЭ_СН1_4" display="М_не_менее_10_ДЭ_СН1_4"/>
    <hyperlink ref="F60" location="М_не_менее_10_ДЭ_СН2_3" display="М_не_менее_10_ДЭ_СН2_3"/>
    <hyperlink ref="F61" location="М_не_менее_10_ДЭ_СН2_4" display="М_не_менее_10_ДЭ_СН2_4"/>
    <hyperlink ref="F62" location="М_не_менее_10_ДЭ_НН_3" display="М_не_менее_10_ДЭ_НН_3"/>
    <hyperlink ref="F63" location="М_не_менее_10_ДЭ_НН_4" display="М_не_менее_10_ДЭ_НН_4"/>
    <hyperlink ref="F64" location="М_не_менее_10_ДКП_ВН_3" display="М_не_менее_10_ДКП_ВН_3"/>
    <hyperlink ref="F65" location="М_не_менее_10_ДКП_ВН_4" display="М_не_менее_10_ДКП_ВН_4"/>
    <hyperlink ref="F66" location="М_не_менее_10_ДКП_СН1_3" display="М_не_менее_10_ДКП_СН1_3"/>
    <hyperlink ref="F67" location="М_не_менее_10_ДКП_СН1_4" display="М_не_менее_10_ДКП_СН1_4"/>
    <hyperlink ref="F68" location="М_не_менее_10_ДКП_СН2_3" display="М_не_менее_10_ДКП_СН2_3"/>
    <hyperlink ref="F69" location="М_не_менее_10_ДКП_СН2_4" display="М_не_менее_10_ДКП_СН2_4"/>
    <hyperlink ref="F70" location="М_не_менее_10_ДКП_НН_3" display="М_не_менее_10_ДКП_НН_3"/>
    <hyperlink ref="F71" location="М_не_менее_10_ДКП_НН_4" display="М_не_менее_10_ДКП_НН_4"/>
    <hyperlink ref="F72" location="М_не_менее_10_РУ_ПЭ_ВН_4" display="М_не_менее_10_РУ_ПЭ_ВН_4"/>
    <hyperlink ref="F73" location="М_не_менее_10_РУ_ПЭ_СН1_4" display="М_не_менее_10_РУ_ПЭ_СН1_4"/>
    <hyperlink ref="F74" location="М_не_менее_10_РУ_ПЭ_СН2_4" display="М_не_менее_10_РУ_ПЭ_СН2_4"/>
    <hyperlink ref="F75" location="М_не_менее_10_РУ_ПЭ_НН_4" display="М_не_менее_10_РУ_ПЭ_НН_4"/>
    <hyperlink ref="F76" location="М_не_менее_10_ЕНЭС220_ВН_4" display="М_не_менее_10_ЕНЭС220_ВН_4"/>
    <hyperlink ref="F77" location="М_не_менее_10_ЕНЭС330_ВН_4" display="М_не_менее_10_ЕНЭС330_ВН_4"/>
    <hyperlink ref="F78" location="МО_менее_670_ДЭ_ВН_1" display="МО_менее_670_ДЭ_ВН_1"/>
    <hyperlink ref="F79" location="МО_менее_670_ДЭ_ВН_3" display="МО_менее_670_ДЭ_ВН_3"/>
    <hyperlink ref="F80" location="МО_менее_670_ДЭ_ВН_4" display="МО_менее_670_ДЭ_ВН_4"/>
    <hyperlink ref="F81" location="МО_менее_670_ДЭ_СН1_1" display="МО_менее_670_ДЭ_СН1_1"/>
    <hyperlink ref="F82" location="МО_менее_670_ДЭ_СН1_3" display="МО_менее_670_ДЭ_СН1_3"/>
    <hyperlink ref="F83" location="МО_менее_670_ДЭ_СН1_4" display="МО_менее_670_ДЭ_СН1_4"/>
    <hyperlink ref="F84" location="МО_менее_670_ДЭ_СН2_1" display="МО_менее_670_ДЭ_СН2_1"/>
    <hyperlink ref="F85" location="МО_менее_670_ДЭ_СН2_3" display="МО_менее_670_ДЭ_СН2_3"/>
    <hyperlink ref="F86" location="МО_менее_670_ДЭ_СН2_4" display="МО_менее_670_ДЭ_СН2_4"/>
    <hyperlink ref="F87" location="МО_менее_670_ДЭ_НН_1" display="МО_менее_670_ДЭ_НН_1"/>
    <hyperlink ref="F88" location="МО_менее_670_ДЭ_НН_3" display="МО_менее_670_ДЭ_НН_3"/>
    <hyperlink ref="F89" location="МО_менее_670_ДЭ_НН_4" display="МО_менее_670_ДЭ_НН_4"/>
    <hyperlink ref="F90" location="МО_менее_670_ДКП_ВН_1" display="МО_менее_670_ДКП_ВН_1"/>
    <hyperlink ref="F91" location="МО_менее_670_ДКП_ВН_3" display="МО_менее_670_ДКП_ВН_3"/>
    <hyperlink ref="F92" location="МО_менее_670_ДКП_ВН_4" display="МО_менее_670_ДКП_ВН_4"/>
    <hyperlink ref="F93" location="МО_менее_670_ДКП_СН1_1" display="МО_менее_670_ДКП_СН1_1"/>
    <hyperlink ref="F94" location="МО_менее_670_ДКП_СН1_3" display="МО_менее_670_ДКП_СН1_3"/>
    <hyperlink ref="F95" location="МО_менее_670_ДКП_СН1_4" display="МО_менее_670_ДКП_СН1_4"/>
    <hyperlink ref="F96" location="МО_менее_670_ДКП_СН2_1" display="МО_менее_670_ДКП_СН2_1"/>
    <hyperlink ref="F97" location="МО_менее_670_ДКП_СН2_3" display="МО_менее_670_ДКП_СН2_3"/>
    <hyperlink ref="F98" location="МО_менее_670_ДКП_СН2_4" display="МО_менее_670_ДКП_СН2_4"/>
    <hyperlink ref="F99" location="МО_менее_670_ДКП_НН_1" display="МО_менее_670_ДКП_НН_1"/>
    <hyperlink ref="F100" location="МО_менее_670_ДКП_НН_3" display="МО_менее_670_ДКП_НН_3"/>
    <hyperlink ref="F101" location="МО_менее_670_ДКП_НН_4" display="МО_менее_670_ДКП_НН_4"/>
    <hyperlink ref="F102" location="МО_от_670_до_10_ДЭ_ВН_3" display="МО_от_670_до_10_ДЭ_ВН_3"/>
    <hyperlink ref="F103" location="МО_от_670_до_10_ДЭ_ВН_4" display="МО_от_670_до_10_ДЭ_ВН_4"/>
    <hyperlink ref="F104" location="МО_от_670_до_10_ДЭ_СН1_3" display="МО_от_670_до_10_ДЭ_СН1_3"/>
    <hyperlink ref="F105" location="МО_от_670_до_10_ДЭ_СН1_4" display="МО_от_670_до_10_ДЭ_СН1_4"/>
    <hyperlink ref="F106" location="МО_от_670_до_10_ДЭ_СН2_3" display="МО_от_670_до_10_ДЭ_СН2_3"/>
    <hyperlink ref="F107" location="МО_от_670_до_10_ДЭ_СН2_4" display="МО_от_670_до_10_ДЭ_СН2_4"/>
    <hyperlink ref="F108" location="МО_от_670_до_10_ДЭ_НН_3" display="МО_от_670_до_10_ДЭ_НН_3"/>
    <hyperlink ref="F109" location="МО_от_670_до_10_ДЭ_НН_4" display="МО_от_670_до_10_ДЭ_НН_4"/>
    <hyperlink ref="F110" location="МО_от_670_до_10_ДКП_ВН_3" display="МО_от_670_до_10_ДКП_ВН_3"/>
    <hyperlink ref="F111" location="МО_от_670_до_10_ДКП_ВН_4" display="МО_от_670_до_10_ДКП_ВН_4"/>
    <hyperlink ref="F112" location="МО_от_670_до_10_ДКП_СН1_3" display="МО_от_670_до_10_ДКП_СН1_3"/>
    <hyperlink ref="F113" location="МО_от_670_до_10_ДКП_СН1_4" display="МО_от_670_до_10_ДКП_СН1_4"/>
    <hyperlink ref="F114" location="МО_от_670_до_10_ДКП_СН2_3" display="МО_от_670_до_10_ДКП_СН2_3"/>
    <hyperlink ref="F115" location="МО_от_670_до_10_ДКП_СН2_4" display="МО_от_670_до_10_ДКП_СН2_4"/>
    <hyperlink ref="F116" location="МО_от_670_до_10_ДКП_НН_3" display="МО_от_670_до_10_ДКП_НН_3"/>
    <hyperlink ref="F117" location="МО_от_670_до_10_ДКП_НН_4" display="МО_от_670_до_10_ДКП_НН_4"/>
    <hyperlink ref="F118" location="МО_от_670_до_10_РУ_ПЭ_ВН_4" display="МО_от_670_до_10_РУ_ПЭ_ВН_4"/>
    <hyperlink ref="F119" location="МО_от_670_до_10_РУ_ПЭ_СН1_4" display="МО_от_670_до_10_РУ_ПЭ_СН1_4"/>
    <hyperlink ref="F120" location="МО_от_670_до_10_РУ_ПЭ_СН2_4" display="МО_от_670_до_10_РУ_ПЭ_СН2_4"/>
    <hyperlink ref="F121" location="МО_от_670_до_10_РУ_ПЭ_НН_4" display="МО_от_670_до_10_РУ_ПЭ_НН_4"/>
    <hyperlink ref="F122" location="МО_от_670_до_10_ЕНЭС220_ВН_4" display="МО_от_670_до_10_ЕНЭС220_ВН_4"/>
    <hyperlink ref="F123" location="МО_от_670_до_10_ЕНЭС330_ВН_4" display="МО_от_670_до_10_ЕНЭС330_ВН_4"/>
    <hyperlink ref="F124" location="МО_не_менее_10_ДЭ_ВН_3" display="МО_не_менее_10_ДЭ_ВН_3"/>
    <hyperlink ref="F125" location="МО_не_менее_10_ДЭ_ВН_4" display="МО_не_менее_10_ДЭ_ВН_4"/>
    <hyperlink ref="F126" location="МО_не_менее_10_ДЭ_СН1_3" display="МО_не_менее_10_ДЭ_СН1_3"/>
    <hyperlink ref="F127" location="МО_не_менее_10_ДЭ_СН1_4" display="МО_не_менее_10_ДЭ_СН1_4"/>
    <hyperlink ref="F128" location="МО_не_менее_10_ДЭ_СН2_3" display="МО_не_менее_10_ДЭ_СН2_3"/>
    <hyperlink ref="F129" location="МО_не_менее_10_ДЭ_СН2_4" display="МО_не_менее_10_ДЭ_СН2_4"/>
    <hyperlink ref="F130" location="МО_не_менее_10_ДЭ_НН_3" display="МО_не_менее_10_ДЭ_НН_3"/>
    <hyperlink ref="F131" location="МО_не_менее_10_ДЭ_НН_4" display="МО_не_менее_10_ДЭ_НН_4"/>
    <hyperlink ref="F132" location="МО_не_менее_10_ДКП_ВН_3" display="МО_не_менее_10_ДКП_ВН_3"/>
    <hyperlink ref="F133" location="МО_не_менее_10_ДКП_ВН_4" display="МО_не_менее_10_ДКП_ВН_4"/>
    <hyperlink ref="F134" location="МО_не_менее_10_ДКП_СН1_3" display="МО_не_менее_10_ДКП_СН1_3"/>
    <hyperlink ref="F135" location="МО_не_менее_10_ДКП_СН1_4" display="МО_не_менее_10_ДКП_СН1_4"/>
    <hyperlink ref="F136" location="МО_не_менее_10_ДКП_СН2_3" display="МО_не_менее_10_ДКП_СН2_3"/>
    <hyperlink ref="F137" location="МО_не_менее_10_ДКП_СН2_4" display="МО_не_менее_10_ДКП_СН2_4"/>
    <hyperlink ref="F138" location="МО_не_менее_10_ДКП_НН_3" display="МО_не_менее_10_ДКП_НН_3"/>
    <hyperlink ref="F139" location="МО_не_менее_10_ДКП_НН_4" display="МО_не_менее_10_ДКП_НН_4"/>
    <hyperlink ref="F140" location="МО_не_менее_10_РУ_ПЭ_ВН_4" display="МО_не_менее_10_РУ_ПЭ_ВН_4"/>
    <hyperlink ref="F141" location="МО_не_менее_10_РУ_ПЭ_СН1_4" display="МО_не_менее_10_РУ_ПЭ_СН1_4"/>
    <hyperlink ref="F142" location="МО_не_менее_10_РУ_ПЭ_СН2_4" display="МО_не_менее_10_РУ_ПЭ_СН2_4"/>
    <hyperlink ref="F143" location="МО_не_менее_10_РУ_ПЭ_НН_4" display="МО_не_менее_10_РУ_ПЭ_НН_4"/>
    <hyperlink ref="F144" location="МО_не_менее_10_ЕНЭС220_ВН_4" display="МО_не_менее_10_ЕНЭС220_ВН_4"/>
    <hyperlink ref="F145" location="МО_не_менее_10_ЕНЭС330_ВН_4" display="МО_не_менее_10_ЕНЭС330_ВН_4"/>
  </hyperlinks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">
    <tabColor rgb="FF00FF99"/>
  </sheetPr>
  <dimension ref="A1:R80"/>
  <sheetViews>
    <sheetView view="pageBreakPreview" zoomScale="85" zoomScaleNormal="80" zoomScaleSheetLayoutView="85" workbookViewId="0">
      <pane ySplit="5" topLeftCell="A6" activePane="bottomLeft" state="frozen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" width="11.85546875" style="60" customWidth="1"/>
    <col min="17" max="17" width="9.28515625" style="60" bestFit="1" customWidth="1"/>
    <col min="18" max="18" width="9.7109375" style="60" bestFit="1" customWidth="1"/>
    <col min="19" max="22" width="9.28515625" style="60" bestFit="1" customWidth="1"/>
    <col min="23" max="23" width="9.7109375" style="60" bestFit="1" customWidth="1"/>
    <col min="24" max="27" width="9.28515625" style="60" bestFit="1" customWidth="1"/>
    <col min="28" max="28" width="9.7109375" style="60" bestFit="1" customWidth="1"/>
    <col min="29" max="32" width="9.28515625" style="60" bestFit="1" customWidth="1"/>
    <col min="33" max="33" width="9.7109375" style="60" bestFit="1" customWidth="1"/>
    <col min="34" max="36" width="9.28515625" style="60" bestFit="1" customWidth="1"/>
    <col min="37" max="16384" width="9.140625" style="60"/>
  </cols>
  <sheetData>
    <row r="1" spans="1:18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8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8" s="57" customFormat="1" ht="18" customHeight="1" x14ac:dyDescent="0.2">
      <c r="A3" s="205" t="s">
        <v>30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8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8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8" s="58" customFormat="1" ht="14.2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8" s="58" customFormat="1" ht="34.5" customHeight="1" x14ac:dyDescent="0.25">
      <c r="A7" s="206" t="s">
        <v>59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8" s="59" customFormat="1" ht="17.25" customHeight="1" x14ac:dyDescent="0.2">
      <c r="A8" s="8"/>
      <c r="B8" s="3"/>
      <c r="C8" s="3"/>
      <c r="D8" s="3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8" s="59" customFormat="1" ht="21" customHeight="1" thickBot="1" x14ac:dyDescent="0.25">
      <c r="A9" s="7" t="s">
        <v>74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8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8" s="17" customFormat="1" ht="21" customHeight="1" thickBot="1" x14ac:dyDescent="0.25">
      <c r="A11" s="14" t="s">
        <v>4</v>
      </c>
      <c r="B11" s="15" t="s">
        <v>5</v>
      </c>
      <c r="C11" s="16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8" s="17" customFormat="1" ht="13.5" thickBot="1" x14ac:dyDescent="0.25">
      <c r="A12" s="18" t="s">
        <v>6</v>
      </c>
      <c r="B12" s="78" t="s">
        <v>7</v>
      </c>
      <c r="C12" s="138">
        <f>C13+C14+C15+C17+C16</f>
        <v>5180.4736550378775</v>
      </c>
      <c r="D12" s="138">
        <f t="shared" ref="D12:N12" si="0">D13+D14+D15+D17+D16</f>
        <v>5555.0556716845649</v>
      </c>
      <c r="E12" s="139">
        <f t="shared" si="0"/>
        <v>5310.4743267436361</v>
      </c>
      <c r="F12" s="139">
        <f t="shared" si="0"/>
        <v>5308.433663284085</v>
      </c>
      <c r="G12" s="140">
        <f t="shared" si="0"/>
        <v>5280.8269147585761</v>
      </c>
      <c r="H12" s="139">
        <f t="shared" si="0"/>
        <v>5433.3946472500447</v>
      </c>
      <c r="I12" s="139">
        <f t="shared" si="0"/>
        <v>5752.2177774411311</v>
      </c>
      <c r="J12" s="139">
        <f t="shared" si="0"/>
        <v>5607.5375821903554</v>
      </c>
      <c r="K12" s="139">
        <f t="shared" si="0"/>
        <v>5894.7341491395255</v>
      </c>
      <c r="L12" s="139">
        <f t="shared" si="0"/>
        <v>6192.343886059266</v>
      </c>
      <c r="M12" s="139">
        <f t="shared" si="0"/>
        <v>6325.1327001974587</v>
      </c>
      <c r="N12" s="141">
        <f t="shared" si="0"/>
        <v>6047.6622023194004</v>
      </c>
      <c r="O12" s="61"/>
      <c r="P12" s="163"/>
      <c r="Q12" s="163"/>
      <c r="R12" s="164"/>
    </row>
    <row r="13" spans="1:18" s="13" customFormat="1" ht="15" customHeight="1" x14ac:dyDescent="0.2">
      <c r="A13" s="23"/>
      <c r="B13" s="39" t="s">
        <v>111</v>
      </c>
      <c r="C13" s="142">
        <f>C$73</f>
        <v>3665.7106550378771</v>
      </c>
      <c r="D13" s="142">
        <f t="shared" ref="D13:N13" si="1">D$73</f>
        <v>4039.542671684565</v>
      </c>
      <c r="E13" s="143">
        <f t="shared" si="1"/>
        <v>3795.2813267436359</v>
      </c>
      <c r="F13" s="143">
        <f t="shared" si="1"/>
        <v>3792.9206632840846</v>
      </c>
      <c r="G13" s="144">
        <f t="shared" si="1"/>
        <v>3765.5739147585764</v>
      </c>
      <c r="H13" s="142">
        <f t="shared" si="1"/>
        <v>3917.9816472500447</v>
      </c>
      <c r="I13" s="142">
        <f t="shared" si="1"/>
        <v>4236.8747774411313</v>
      </c>
      <c r="J13" s="142">
        <f t="shared" si="1"/>
        <v>4091.9945821903557</v>
      </c>
      <c r="K13" s="142">
        <f t="shared" si="1"/>
        <v>4378.6711491395254</v>
      </c>
      <c r="L13" s="142">
        <f t="shared" si="1"/>
        <v>4330.6303560227407</v>
      </c>
      <c r="M13" s="142">
        <f t="shared" si="1"/>
        <v>4463.5891701609335</v>
      </c>
      <c r="N13" s="145">
        <f t="shared" si="1"/>
        <v>4186.2986722828755</v>
      </c>
      <c r="O13" s="61"/>
      <c r="R13" s="165"/>
    </row>
    <row r="14" spans="1:18" s="13" customFormat="1" ht="15" customHeight="1" x14ac:dyDescent="0.2">
      <c r="A14" s="25"/>
      <c r="B14" s="26" t="s">
        <v>8</v>
      </c>
      <c r="C14" s="146">
        <v>1283.6600000000001</v>
      </c>
      <c r="D14" s="146">
        <v>1283.6600000000001</v>
      </c>
      <c r="E14" s="99">
        <v>1283.6600000000001</v>
      </c>
      <c r="F14" s="99">
        <v>1283.6600000000001</v>
      </c>
      <c r="G14" s="147">
        <v>1283.6600000000001</v>
      </c>
      <c r="H14" s="146">
        <v>1283.6600000000001</v>
      </c>
      <c r="I14" s="146">
        <v>1283.6600000000001</v>
      </c>
      <c r="J14" s="146">
        <v>1283.6600000000001</v>
      </c>
      <c r="K14" s="146">
        <v>1283.6600000000001</v>
      </c>
      <c r="L14" s="146">
        <v>1478.78</v>
      </c>
      <c r="M14" s="146">
        <v>1478.78</v>
      </c>
      <c r="N14" s="148">
        <v>1478.78</v>
      </c>
      <c r="O14" s="61"/>
      <c r="R14" s="165"/>
    </row>
    <row r="15" spans="1:18" s="13" customFormat="1" ht="15" customHeight="1" x14ac:dyDescent="0.2">
      <c r="A15" s="29"/>
      <c r="B15" s="30" t="s">
        <v>9</v>
      </c>
      <c r="C15" s="114">
        <v>224.61</v>
      </c>
      <c r="D15" s="114">
        <v>224.61</v>
      </c>
      <c r="E15" s="115">
        <v>224.61</v>
      </c>
      <c r="F15" s="115">
        <v>224.61</v>
      </c>
      <c r="G15" s="116">
        <v>224.61</v>
      </c>
      <c r="H15" s="114">
        <v>224.61</v>
      </c>
      <c r="I15" s="114">
        <v>224.61</v>
      </c>
      <c r="J15" s="114">
        <v>224.61</v>
      </c>
      <c r="K15" s="114">
        <v>224.61</v>
      </c>
      <c r="L15" s="114">
        <v>375.09</v>
      </c>
      <c r="M15" s="114">
        <v>375.09</v>
      </c>
      <c r="N15" s="117">
        <v>375.09</v>
      </c>
      <c r="O15" s="61"/>
      <c r="R15" s="165"/>
    </row>
    <row r="16" spans="1:18" s="13" customFormat="1" ht="25.5" x14ac:dyDescent="0.2">
      <c r="A16" s="25"/>
      <c r="B16" s="26" t="s">
        <v>116</v>
      </c>
      <c r="C16" s="106">
        <v>1.1299999999999999</v>
      </c>
      <c r="D16" s="106">
        <v>1.88</v>
      </c>
      <c r="E16" s="107">
        <v>1.56</v>
      </c>
      <c r="F16" s="107">
        <v>1.88</v>
      </c>
      <c r="G16" s="108">
        <v>1.62</v>
      </c>
      <c r="H16" s="106">
        <v>1.78</v>
      </c>
      <c r="I16" s="106">
        <v>1.71</v>
      </c>
      <c r="J16" s="106">
        <v>1.91</v>
      </c>
      <c r="K16" s="106">
        <v>2.4300000000000002</v>
      </c>
      <c r="L16" s="106">
        <v>1.72</v>
      </c>
      <c r="M16" s="106">
        <v>1.55</v>
      </c>
      <c r="N16" s="109">
        <v>1.37</v>
      </c>
      <c r="O16" s="61"/>
      <c r="R16" s="165"/>
    </row>
    <row r="17" spans="1:18" s="13" customFormat="1" ht="15" customHeight="1" thickBot="1" x14ac:dyDescent="0.25">
      <c r="A17" s="32"/>
      <c r="B17" s="33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  <c r="R17" s="165"/>
    </row>
    <row r="18" spans="1:18" s="13" customFormat="1" ht="26.25" customHeight="1" thickBot="1" x14ac:dyDescent="0.25">
      <c r="A18" s="36" t="s">
        <v>10</v>
      </c>
      <c r="B18" s="37" t="s">
        <v>11</v>
      </c>
      <c r="C18" s="138">
        <f>C19+C20+C22+C21</f>
        <v>3896.8136550378772</v>
      </c>
      <c r="D18" s="138">
        <f t="shared" ref="D18:N18" si="2">D19+D20+D22+D21</f>
        <v>4271.3956716845651</v>
      </c>
      <c r="E18" s="139">
        <f t="shared" si="2"/>
        <v>4026.8143267436358</v>
      </c>
      <c r="F18" s="139">
        <f t="shared" si="2"/>
        <v>4024.7736632840847</v>
      </c>
      <c r="G18" s="149">
        <f t="shared" si="2"/>
        <v>3997.1669147585762</v>
      </c>
      <c r="H18" s="138">
        <f t="shared" si="2"/>
        <v>4149.7346472500449</v>
      </c>
      <c r="I18" s="138">
        <f t="shared" si="2"/>
        <v>4468.5577774411313</v>
      </c>
      <c r="J18" s="138">
        <f t="shared" si="2"/>
        <v>4323.8775821903555</v>
      </c>
      <c r="K18" s="138">
        <f t="shared" si="2"/>
        <v>4611.0741491395256</v>
      </c>
      <c r="L18" s="138">
        <f t="shared" si="2"/>
        <v>4713.5638860592662</v>
      </c>
      <c r="M18" s="138">
        <f t="shared" si="2"/>
        <v>4846.3527001974589</v>
      </c>
      <c r="N18" s="150">
        <f t="shared" si="2"/>
        <v>4568.8822023194007</v>
      </c>
      <c r="O18" s="61"/>
      <c r="P18" s="163"/>
      <c r="Q18" s="163"/>
      <c r="R18" s="164"/>
    </row>
    <row r="19" spans="1:18" s="13" customFormat="1" ht="15" customHeight="1" x14ac:dyDescent="0.2">
      <c r="A19" s="38"/>
      <c r="B19" s="39" t="s">
        <v>111</v>
      </c>
      <c r="C19" s="151">
        <f t="shared" ref="C19:N19" si="3">C13</f>
        <v>3665.7106550378771</v>
      </c>
      <c r="D19" s="151">
        <f t="shared" si="3"/>
        <v>4039.542671684565</v>
      </c>
      <c r="E19" s="152">
        <f t="shared" si="3"/>
        <v>3795.2813267436359</v>
      </c>
      <c r="F19" s="152">
        <f t="shared" si="3"/>
        <v>3792.9206632840846</v>
      </c>
      <c r="G19" s="153">
        <f t="shared" si="3"/>
        <v>3765.5739147585764</v>
      </c>
      <c r="H19" s="152">
        <f t="shared" si="3"/>
        <v>3917.9816472500447</v>
      </c>
      <c r="I19" s="152">
        <f t="shared" si="3"/>
        <v>4236.8747774411313</v>
      </c>
      <c r="J19" s="152">
        <f t="shared" si="3"/>
        <v>4091.9945821903557</v>
      </c>
      <c r="K19" s="152">
        <f t="shared" si="3"/>
        <v>4378.6711491395254</v>
      </c>
      <c r="L19" s="152">
        <f t="shared" si="3"/>
        <v>4330.6303560227407</v>
      </c>
      <c r="M19" s="152">
        <f t="shared" si="3"/>
        <v>4463.5891701609335</v>
      </c>
      <c r="N19" s="154">
        <f t="shared" si="3"/>
        <v>4186.2986722828755</v>
      </c>
    </row>
    <row r="20" spans="1:18" s="13" customFormat="1" ht="15" customHeight="1" x14ac:dyDescent="0.2">
      <c r="A20" s="40"/>
      <c r="B20" s="26" t="s">
        <v>9</v>
      </c>
      <c r="C20" s="114">
        <f t="shared" ref="C20:N20" si="4">C15</f>
        <v>224.61</v>
      </c>
      <c r="D20" s="114">
        <f t="shared" si="4"/>
        <v>224.61</v>
      </c>
      <c r="E20" s="115">
        <f t="shared" si="4"/>
        <v>224.61</v>
      </c>
      <c r="F20" s="115">
        <f t="shared" si="4"/>
        <v>224.61</v>
      </c>
      <c r="G20" s="121">
        <f t="shared" si="4"/>
        <v>224.61</v>
      </c>
      <c r="H20" s="115">
        <f t="shared" si="4"/>
        <v>224.61</v>
      </c>
      <c r="I20" s="115">
        <f t="shared" si="4"/>
        <v>224.61</v>
      </c>
      <c r="J20" s="115">
        <f t="shared" si="4"/>
        <v>224.61</v>
      </c>
      <c r="K20" s="115">
        <f t="shared" si="4"/>
        <v>224.61</v>
      </c>
      <c r="L20" s="115">
        <f t="shared" si="4"/>
        <v>375.09</v>
      </c>
      <c r="M20" s="115">
        <f t="shared" si="4"/>
        <v>375.09</v>
      </c>
      <c r="N20" s="122">
        <f t="shared" si="4"/>
        <v>375.09</v>
      </c>
    </row>
    <row r="21" spans="1:18" s="13" customFormat="1" ht="25.5" x14ac:dyDescent="0.2">
      <c r="A21" s="25"/>
      <c r="B21" s="26" t="s">
        <v>116</v>
      </c>
      <c r="C21" s="174">
        <v>1.1299999999999999</v>
      </c>
      <c r="D21" s="174">
        <v>1.88</v>
      </c>
      <c r="E21" s="175">
        <v>1.56</v>
      </c>
      <c r="F21" s="107">
        <v>1.88</v>
      </c>
      <c r="G21" s="176">
        <v>1.62</v>
      </c>
      <c r="H21" s="175">
        <v>1.78</v>
      </c>
      <c r="I21" s="175">
        <v>1.71</v>
      </c>
      <c r="J21" s="175">
        <v>1.91</v>
      </c>
      <c r="K21" s="175">
        <v>2.4300000000000002</v>
      </c>
      <c r="L21" s="175">
        <v>1.72</v>
      </c>
      <c r="M21" s="175">
        <v>1.55</v>
      </c>
      <c r="N21" s="177">
        <v>1.37</v>
      </c>
    </row>
    <row r="22" spans="1:18" s="13" customFormat="1" ht="15" customHeight="1" thickBot="1" x14ac:dyDescent="0.25">
      <c r="A22" s="41"/>
      <c r="B22" s="42" t="s">
        <v>42</v>
      </c>
      <c r="C22" s="110">
        <f t="shared" ref="C22:N22" si="5">C17</f>
        <v>5.3629999999999995</v>
      </c>
      <c r="D22" s="110">
        <f t="shared" si="5"/>
        <v>5.3629999999999995</v>
      </c>
      <c r="E22" s="111">
        <f t="shared" si="5"/>
        <v>5.3629999999999995</v>
      </c>
      <c r="F22" s="98">
        <f t="shared" si="5"/>
        <v>5.3629999999999995</v>
      </c>
      <c r="G22" s="112">
        <f t="shared" si="5"/>
        <v>5.3629999999999995</v>
      </c>
      <c r="H22" s="111">
        <f t="shared" si="5"/>
        <v>5.3629999999999995</v>
      </c>
      <c r="I22" s="111">
        <f t="shared" si="5"/>
        <v>5.3629999999999995</v>
      </c>
      <c r="J22" s="111">
        <f t="shared" si="5"/>
        <v>5.3629999999999995</v>
      </c>
      <c r="K22" s="111">
        <f t="shared" si="5"/>
        <v>5.3629999999999995</v>
      </c>
      <c r="L22" s="111">
        <f t="shared" si="5"/>
        <v>6.1235300365250511</v>
      </c>
      <c r="M22" s="111">
        <f t="shared" si="5"/>
        <v>6.1235300365250511</v>
      </c>
      <c r="N22" s="113">
        <f t="shared" si="5"/>
        <v>6.1235300365250511</v>
      </c>
    </row>
    <row r="23" spans="1:18" ht="15" customHeight="1" x14ac:dyDescent="0.2"/>
    <row r="24" spans="1:18" ht="15" customHeight="1" x14ac:dyDescent="0.2"/>
    <row r="25" spans="1:18" s="59" customFormat="1" ht="21" customHeight="1" thickBot="1" x14ac:dyDescent="0.25">
      <c r="A25" s="7" t="s">
        <v>75</v>
      </c>
      <c r="B25" s="7"/>
      <c r="C25" s="7"/>
      <c r="D25" s="7"/>
      <c r="E25" s="7"/>
      <c r="F25" s="7"/>
      <c r="G25" s="5"/>
      <c r="H25" s="5"/>
      <c r="I25" s="5"/>
      <c r="J25" s="5"/>
      <c r="K25" s="5"/>
      <c r="L25" s="6"/>
      <c r="M25" s="6"/>
      <c r="N25" s="6"/>
    </row>
    <row r="26" spans="1:18" s="13" customFormat="1" ht="24" customHeight="1" thickBot="1" x14ac:dyDescent="0.25">
      <c r="A26" s="49" t="s">
        <v>0</v>
      </c>
      <c r="B26" s="50" t="s">
        <v>1</v>
      </c>
      <c r="C26" s="51" t="s">
        <v>17</v>
      </c>
      <c r="D26" s="51" t="s">
        <v>18</v>
      </c>
      <c r="E26" s="51" t="s">
        <v>19</v>
      </c>
      <c r="F26" s="51" t="s">
        <v>20</v>
      </c>
      <c r="G26" s="51" t="s">
        <v>21</v>
      </c>
      <c r="H26" s="51" t="s">
        <v>22</v>
      </c>
      <c r="I26" s="51" t="s">
        <v>23</v>
      </c>
      <c r="J26" s="51" t="s">
        <v>24</v>
      </c>
      <c r="K26" s="51" t="s">
        <v>25</v>
      </c>
      <c r="L26" s="51" t="s">
        <v>26</v>
      </c>
      <c r="M26" s="51" t="s">
        <v>27</v>
      </c>
      <c r="N26" s="52" t="s">
        <v>28</v>
      </c>
    </row>
    <row r="27" spans="1:18" s="17" customFormat="1" ht="21" customHeight="1" thickBot="1" x14ac:dyDescent="0.25">
      <c r="A27" s="14" t="s">
        <v>14</v>
      </c>
      <c r="B27" s="15" t="s">
        <v>5</v>
      </c>
      <c r="C27" s="16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2"/>
      <c r="O27" s="44"/>
    </row>
    <row r="28" spans="1:18" s="17" customFormat="1" ht="13.5" thickBot="1" x14ac:dyDescent="0.25">
      <c r="A28" s="18" t="s">
        <v>15</v>
      </c>
      <c r="B28" s="19" t="s">
        <v>7</v>
      </c>
      <c r="C28" s="138">
        <f>C29+C30+C31+C33+C32</f>
        <v>5970.4036550378778</v>
      </c>
      <c r="D28" s="138">
        <f t="shared" ref="D28" si="6">D29+D30+D31+D33+D32</f>
        <v>6344.9856716845652</v>
      </c>
      <c r="E28" s="139">
        <f t="shared" ref="E28" si="7">E29+E30+E31+E33+E32</f>
        <v>6100.4043267436364</v>
      </c>
      <c r="F28" s="139">
        <f t="shared" ref="F28" si="8">F29+F30+F31+F33+F32</f>
        <v>6098.3636632840853</v>
      </c>
      <c r="G28" s="140">
        <f t="shared" ref="G28" si="9">G29+G30+G31+G33+G32</f>
        <v>6070.7569147585764</v>
      </c>
      <c r="H28" s="139">
        <f t="shared" ref="H28" si="10">H29+H30+H31+H33+H32</f>
        <v>6223.3246472500441</v>
      </c>
      <c r="I28" s="139">
        <f t="shared" ref="I28" si="11">I29+I30+I31+I33+I32</f>
        <v>6542.1477774411314</v>
      </c>
      <c r="J28" s="139">
        <f t="shared" ref="J28" si="12">J29+J30+J31+J33+J32</f>
        <v>6397.4675821903556</v>
      </c>
      <c r="K28" s="139">
        <f t="shared" ref="K28" si="13">K29+K30+K31+K33+K32</f>
        <v>6684.6641491395258</v>
      </c>
      <c r="L28" s="139">
        <f t="shared" ref="L28" si="14">L29+L30+L31+L33+L32</f>
        <v>7102.3438860592669</v>
      </c>
      <c r="M28" s="139">
        <f t="shared" ref="M28" si="15">M29+M30+M31+M33+M32</f>
        <v>7235.1327001974587</v>
      </c>
      <c r="N28" s="141">
        <f t="shared" ref="N28" si="16">N29+N30+N31+N33+N32</f>
        <v>6957.6622023194013</v>
      </c>
      <c r="O28" s="61"/>
      <c r="P28" s="163"/>
      <c r="Q28" s="163"/>
      <c r="R28" s="164"/>
    </row>
    <row r="29" spans="1:18" s="13" customFormat="1" ht="15" customHeight="1" x14ac:dyDescent="0.2">
      <c r="A29" s="23"/>
      <c r="B29" s="39" t="s">
        <v>111</v>
      </c>
      <c r="C29" s="142">
        <f>C$73</f>
        <v>3665.7106550378771</v>
      </c>
      <c r="D29" s="142">
        <f t="shared" ref="D29:N29" si="17">D$73</f>
        <v>4039.542671684565</v>
      </c>
      <c r="E29" s="143">
        <f t="shared" si="17"/>
        <v>3795.2813267436359</v>
      </c>
      <c r="F29" s="143">
        <f t="shared" si="17"/>
        <v>3792.9206632840846</v>
      </c>
      <c r="G29" s="144">
        <f t="shared" si="17"/>
        <v>3765.5739147585764</v>
      </c>
      <c r="H29" s="142">
        <f t="shared" si="17"/>
        <v>3917.9816472500447</v>
      </c>
      <c r="I29" s="142">
        <f t="shared" si="17"/>
        <v>4236.8747774411313</v>
      </c>
      <c r="J29" s="142">
        <f t="shared" si="17"/>
        <v>4091.9945821903557</v>
      </c>
      <c r="K29" s="142">
        <f t="shared" si="17"/>
        <v>4378.6711491395254</v>
      </c>
      <c r="L29" s="142">
        <f t="shared" si="17"/>
        <v>4330.6303560227407</v>
      </c>
      <c r="M29" s="142">
        <f t="shared" si="17"/>
        <v>4463.5891701609335</v>
      </c>
      <c r="N29" s="145">
        <f t="shared" si="17"/>
        <v>4186.2986722828755</v>
      </c>
      <c r="O29" s="61"/>
    </row>
    <row r="30" spans="1:18" s="13" customFormat="1" ht="15" customHeight="1" x14ac:dyDescent="0.2">
      <c r="A30" s="25"/>
      <c r="B30" s="26" t="s">
        <v>8</v>
      </c>
      <c r="C30" s="146">
        <v>2073.59</v>
      </c>
      <c r="D30" s="146">
        <v>2073.59</v>
      </c>
      <c r="E30" s="99">
        <v>2073.59</v>
      </c>
      <c r="F30" s="99">
        <v>2073.59</v>
      </c>
      <c r="G30" s="147">
        <v>2073.59</v>
      </c>
      <c r="H30" s="146">
        <v>2073.59</v>
      </c>
      <c r="I30" s="146">
        <v>2073.59</v>
      </c>
      <c r="J30" s="146">
        <v>2073.59</v>
      </c>
      <c r="K30" s="146">
        <v>2073.59</v>
      </c>
      <c r="L30" s="146">
        <v>2388.7800000000002</v>
      </c>
      <c r="M30" s="146">
        <v>2388.7800000000002</v>
      </c>
      <c r="N30" s="148">
        <v>2388.7800000000002</v>
      </c>
      <c r="O30" s="61"/>
    </row>
    <row r="31" spans="1:18" s="13" customFormat="1" ht="15" customHeight="1" x14ac:dyDescent="0.2">
      <c r="A31" s="29"/>
      <c r="B31" s="26" t="s">
        <v>9</v>
      </c>
      <c r="C31" s="114">
        <v>224.61</v>
      </c>
      <c r="D31" s="114">
        <v>224.61</v>
      </c>
      <c r="E31" s="115">
        <v>224.61</v>
      </c>
      <c r="F31" s="115">
        <v>224.61</v>
      </c>
      <c r="G31" s="116">
        <v>224.61</v>
      </c>
      <c r="H31" s="114">
        <v>224.61</v>
      </c>
      <c r="I31" s="114">
        <v>224.61</v>
      </c>
      <c r="J31" s="114">
        <v>224.61</v>
      </c>
      <c r="K31" s="114">
        <v>224.61</v>
      </c>
      <c r="L31" s="114">
        <v>375.09</v>
      </c>
      <c r="M31" s="114">
        <v>375.09</v>
      </c>
      <c r="N31" s="117">
        <v>375.09</v>
      </c>
      <c r="O31" s="61"/>
    </row>
    <row r="32" spans="1:18" s="13" customFormat="1" ht="25.5" x14ac:dyDescent="0.2">
      <c r="A32" s="29"/>
      <c r="B32" s="30" t="s">
        <v>116</v>
      </c>
      <c r="C32" s="106">
        <v>1.1299999999999999</v>
      </c>
      <c r="D32" s="106">
        <v>1.88</v>
      </c>
      <c r="E32" s="107">
        <v>1.56</v>
      </c>
      <c r="F32" s="107">
        <v>1.88</v>
      </c>
      <c r="G32" s="108">
        <v>1.62</v>
      </c>
      <c r="H32" s="106">
        <v>1.78</v>
      </c>
      <c r="I32" s="106">
        <v>1.71</v>
      </c>
      <c r="J32" s="106">
        <v>1.91</v>
      </c>
      <c r="K32" s="106">
        <v>2.4300000000000002</v>
      </c>
      <c r="L32" s="106">
        <v>1.72</v>
      </c>
      <c r="M32" s="106">
        <v>1.55</v>
      </c>
      <c r="N32" s="109">
        <v>1.37</v>
      </c>
      <c r="O32" s="61"/>
    </row>
    <row r="33" spans="1:18" s="13" customFormat="1" ht="15" customHeight="1" thickBot="1" x14ac:dyDescent="0.25">
      <c r="A33" s="32"/>
      <c r="B33" s="33" t="s">
        <v>42</v>
      </c>
      <c r="C33" s="106">
        <v>5.3629999999999995</v>
      </c>
      <c r="D33" s="106">
        <v>5.3629999999999995</v>
      </c>
      <c r="E33" s="107">
        <v>5.3629999999999995</v>
      </c>
      <c r="F33" s="107">
        <v>5.3629999999999995</v>
      </c>
      <c r="G33" s="108">
        <v>5.3629999999999995</v>
      </c>
      <c r="H33" s="106">
        <v>5.3629999999999995</v>
      </c>
      <c r="I33" s="106">
        <v>5.3629999999999995</v>
      </c>
      <c r="J33" s="106">
        <v>5.3629999999999995</v>
      </c>
      <c r="K33" s="106">
        <v>5.3629999999999995</v>
      </c>
      <c r="L33" s="106">
        <v>6.1235300365250511</v>
      </c>
      <c r="M33" s="106">
        <v>6.1235300365250511</v>
      </c>
      <c r="N33" s="109">
        <v>6.1235300365250511</v>
      </c>
      <c r="O33" s="61"/>
    </row>
    <row r="34" spans="1:18" s="13" customFormat="1" ht="26.25" customHeight="1" thickBot="1" x14ac:dyDescent="0.25">
      <c r="A34" s="36" t="s">
        <v>16</v>
      </c>
      <c r="B34" s="37" t="s">
        <v>11</v>
      </c>
      <c r="C34" s="138">
        <f>C35+C36+C38+C37</f>
        <v>3896.8136550378772</v>
      </c>
      <c r="D34" s="138">
        <f t="shared" ref="D34" si="18">D35+D36+D38+D37</f>
        <v>4271.3956716845651</v>
      </c>
      <c r="E34" s="139">
        <f t="shared" ref="E34" si="19">E35+E36+E38+E37</f>
        <v>4026.8143267436358</v>
      </c>
      <c r="F34" s="139">
        <f t="shared" ref="F34" si="20">F35+F36+F38+F37</f>
        <v>4024.7736632840847</v>
      </c>
      <c r="G34" s="149">
        <f t="shared" ref="G34" si="21">G35+G36+G38+G37</f>
        <v>3997.1669147585762</v>
      </c>
      <c r="H34" s="138">
        <f t="shared" ref="H34" si="22">H35+H36+H38+H37</f>
        <v>4149.7346472500449</v>
      </c>
      <c r="I34" s="138">
        <f t="shared" ref="I34" si="23">I35+I36+I38+I37</f>
        <v>4468.5577774411313</v>
      </c>
      <c r="J34" s="138">
        <f t="shared" ref="J34" si="24">J35+J36+J38+J37</f>
        <v>4323.8775821903555</v>
      </c>
      <c r="K34" s="138">
        <f t="shared" ref="K34" si="25">K35+K36+K38+K37</f>
        <v>4611.0741491395256</v>
      </c>
      <c r="L34" s="138">
        <f t="shared" ref="L34" si="26">L35+L36+L38+L37</f>
        <v>4713.5638860592662</v>
      </c>
      <c r="M34" s="138">
        <f t="shared" ref="M34" si="27">M35+M36+M38+M37</f>
        <v>4846.3527001974589</v>
      </c>
      <c r="N34" s="150">
        <f t="shared" ref="N34" si="28">N35+N36+N38+N37</f>
        <v>4568.8822023194007</v>
      </c>
      <c r="O34" s="61"/>
      <c r="P34" s="163"/>
      <c r="Q34" s="163"/>
      <c r="R34" s="164"/>
    </row>
    <row r="35" spans="1:18" s="13" customFormat="1" ht="15" customHeight="1" x14ac:dyDescent="0.2">
      <c r="A35" s="38"/>
      <c r="B35" s="39" t="s">
        <v>111</v>
      </c>
      <c r="C35" s="151">
        <f>C29</f>
        <v>3665.7106550378771</v>
      </c>
      <c r="D35" s="151">
        <f t="shared" ref="D35:N35" si="29">D29</f>
        <v>4039.542671684565</v>
      </c>
      <c r="E35" s="152">
        <f t="shared" si="29"/>
        <v>3795.2813267436359</v>
      </c>
      <c r="F35" s="152">
        <f t="shared" si="29"/>
        <v>3792.9206632840846</v>
      </c>
      <c r="G35" s="153">
        <f t="shared" si="29"/>
        <v>3765.5739147585764</v>
      </c>
      <c r="H35" s="152">
        <f t="shared" si="29"/>
        <v>3917.9816472500447</v>
      </c>
      <c r="I35" s="152">
        <f t="shared" si="29"/>
        <v>4236.8747774411313</v>
      </c>
      <c r="J35" s="152">
        <f t="shared" si="29"/>
        <v>4091.9945821903557</v>
      </c>
      <c r="K35" s="152">
        <f t="shared" si="29"/>
        <v>4378.6711491395254</v>
      </c>
      <c r="L35" s="152">
        <f t="shared" si="29"/>
        <v>4330.6303560227407</v>
      </c>
      <c r="M35" s="152">
        <f t="shared" si="29"/>
        <v>4463.5891701609335</v>
      </c>
      <c r="N35" s="154">
        <f t="shared" si="29"/>
        <v>4186.2986722828755</v>
      </c>
    </row>
    <row r="36" spans="1:18" s="13" customFormat="1" ht="15" customHeight="1" x14ac:dyDescent="0.2">
      <c r="A36" s="40"/>
      <c r="B36" s="26" t="s">
        <v>9</v>
      </c>
      <c r="C36" s="114">
        <f>C31</f>
        <v>224.61</v>
      </c>
      <c r="D36" s="114">
        <f t="shared" ref="D36:N36" si="30">D31</f>
        <v>224.61</v>
      </c>
      <c r="E36" s="115">
        <f t="shared" si="30"/>
        <v>224.61</v>
      </c>
      <c r="F36" s="115">
        <f t="shared" si="30"/>
        <v>224.61</v>
      </c>
      <c r="G36" s="121">
        <f t="shared" si="30"/>
        <v>224.61</v>
      </c>
      <c r="H36" s="115">
        <f t="shared" si="30"/>
        <v>224.61</v>
      </c>
      <c r="I36" s="115">
        <f t="shared" si="30"/>
        <v>224.61</v>
      </c>
      <c r="J36" s="115">
        <f t="shared" si="30"/>
        <v>224.61</v>
      </c>
      <c r="K36" s="115">
        <f t="shared" si="30"/>
        <v>224.61</v>
      </c>
      <c r="L36" s="115">
        <f t="shared" si="30"/>
        <v>375.09</v>
      </c>
      <c r="M36" s="115">
        <f t="shared" si="30"/>
        <v>375.09</v>
      </c>
      <c r="N36" s="122">
        <f t="shared" si="30"/>
        <v>375.09</v>
      </c>
    </row>
    <row r="37" spans="1:18" s="13" customFormat="1" ht="25.5" x14ac:dyDescent="0.2">
      <c r="A37" s="25"/>
      <c r="B37" s="30" t="s">
        <v>116</v>
      </c>
      <c r="C37" s="174">
        <v>1.1299999999999999</v>
      </c>
      <c r="D37" s="174">
        <v>1.88</v>
      </c>
      <c r="E37" s="175">
        <v>1.56</v>
      </c>
      <c r="F37" s="107">
        <v>1.88</v>
      </c>
      <c r="G37" s="176">
        <v>1.62</v>
      </c>
      <c r="H37" s="175">
        <v>1.78</v>
      </c>
      <c r="I37" s="175">
        <v>1.71</v>
      </c>
      <c r="J37" s="175">
        <v>1.91</v>
      </c>
      <c r="K37" s="175">
        <v>2.4300000000000002</v>
      </c>
      <c r="L37" s="175">
        <v>1.72</v>
      </c>
      <c r="M37" s="175">
        <v>1.55</v>
      </c>
      <c r="N37" s="177">
        <v>1.37</v>
      </c>
    </row>
    <row r="38" spans="1:18" s="13" customFormat="1" ht="15" customHeight="1" thickBot="1" x14ac:dyDescent="0.25">
      <c r="A38" s="41"/>
      <c r="B38" s="33" t="s">
        <v>42</v>
      </c>
      <c r="C38" s="110">
        <f>C33</f>
        <v>5.3629999999999995</v>
      </c>
      <c r="D38" s="110">
        <f t="shared" ref="D38:N38" si="31">D33</f>
        <v>5.3629999999999995</v>
      </c>
      <c r="E38" s="111">
        <f t="shared" si="31"/>
        <v>5.3629999999999995</v>
      </c>
      <c r="F38" s="98">
        <f t="shared" si="31"/>
        <v>5.3629999999999995</v>
      </c>
      <c r="G38" s="112">
        <f t="shared" si="31"/>
        <v>5.3629999999999995</v>
      </c>
      <c r="H38" s="111">
        <f t="shared" si="31"/>
        <v>5.3629999999999995</v>
      </c>
      <c r="I38" s="111">
        <f t="shared" si="31"/>
        <v>5.3629999999999995</v>
      </c>
      <c r="J38" s="111">
        <f t="shared" si="31"/>
        <v>5.3629999999999995</v>
      </c>
      <c r="K38" s="111">
        <f t="shared" si="31"/>
        <v>5.3629999999999995</v>
      </c>
      <c r="L38" s="111">
        <f t="shared" si="31"/>
        <v>6.1235300365250511</v>
      </c>
      <c r="M38" s="111">
        <f t="shared" si="31"/>
        <v>6.1235300365250511</v>
      </c>
      <c r="N38" s="113">
        <f t="shared" si="31"/>
        <v>6.1235300365250511</v>
      </c>
    </row>
    <row r="39" spans="1:18" ht="15" customHeight="1" x14ac:dyDescent="0.2"/>
    <row r="40" spans="1:18" ht="15" customHeight="1" x14ac:dyDescent="0.2"/>
    <row r="41" spans="1:18" s="59" customFormat="1" ht="21" customHeight="1" thickBot="1" x14ac:dyDescent="0.25">
      <c r="A41" s="7" t="s">
        <v>76</v>
      </c>
      <c r="B41" s="7"/>
      <c r="C41" s="7"/>
      <c r="D41" s="7"/>
      <c r="E41" s="7"/>
      <c r="F41" s="7"/>
      <c r="G41" s="5"/>
      <c r="H41" s="5"/>
      <c r="I41" s="5"/>
      <c r="J41" s="5"/>
      <c r="K41" s="5"/>
      <c r="L41" s="6"/>
      <c r="M41" s="6"/>
      <c r="N41" s="6"/>
    </row>
    <row r="42" spans="1:18" s="13" customFormat="1" ht="24" customHeight="1" thickBot="1" x14ac:dyDescent="0.25">
      <c r="A42" s="49" t="s">
        <v>0</v>
      </c>
      <c r="B42" s="50" t="s">
        <v>1</v>
      </c>
      <c r="C42" s="51" t="s">
        <v>17</v>
      </c>
      <c r="D42" s="51" t="s">
        <v>18</v>
      </c>
      <c r="E42" s="51" t="s">
        <v>19</v>
      </c>
      <c r="F42" s="51" t="s">
        <v>20</v>
      </c>
      <c r="G42" s="51" t="s">
        <v>21</v>
      </c>
      <c r="H42" s="51" t="s">
        <v>22</v>
      </c>
      <c r="I42" s="51" t="s">
        <v>23</v>
      </c>
      <c r="J42" s="51" t="s">
        <v>24</v>
      </c>
      <c r="K42" s="51" t="s">
        <v>25</v>
      </c>
      <c r="L42" s="51" t="s">
        <v>26</v>
      </c>
      <c r="M42" s="51" t="s">
        <v>27</v>
      </c>
      <c r="N42" s="52" t="s">
        <v>28</v>
      </c>
    </row>
    <row r="43" spans="1:18" s="17" customFormat="1" ht="21" customHeight="1" thickBot="1" x14ac:dyDescent="0.25">
      <c r="A43" s="14" t="s">
        <v>31</v>
      </c>
      <c r="B43" s="15" t="s">
        <v>5</v>
      </c>
      <c r="C43" s="16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2"/>
      <c r="O43" s="44"/>
    </row>
    <row r="44" spans="1:18" s="17" customFormat="1" ht="13.5" thickBot="1" x14ac:dyDescent="0.25">
      <c r="A44" s="18" t="s">
        <v>32</v>
      </c>
      <c r="B44" s="19" t="s">
        <v>7</v>
      </c>
      <c r="C44" s="138">
        <f>C45+C46+C47+C49+C48</f>
        <v>6622.4136550378771</v>
      </c>
      <c r="D44" s="138">
        <f t="shared" ref="D44" si="32">D45+D46+D47+D49+D48</f>
        <v>6996.9956716845654</v>
      </c>
      <c r="E44" s="139">
        <f t="shared" ref="E44" si="33">E45+E46+E47+E49+E48</f>
        <v>6752.4143267436366</v>
      </c>
      <c r="F44" s="139">
        <f t="shared" ref="F44" si="34">F45+F46+F47+F49+F48</f>
        <v>6750.3736632840846</v>
      </c>
      <c r="G44" s="140">
        <f t="shared" ref="G44" si="35">G45+G46+G47+G49+G48</f>
        <v>6722.7669147585757</v>
      </c>
      <c r="H44" s="139">
        <f t="shared" ref="H44" si="36">H45+H46+H47+H49+H48</f>
        <v>6875.3346472500443</v>
      </c>
      <c r="I44" s="139">
        <f t="shared" ref="I44" si="37">I45+I46+I47+I49+I48</f>
        <v>7194.1577774411317</v>
      </c>
      <c r="J44" s="139">
        <f t="shared" ref="J44" si="38">J45+J46+J47+J49+J48</f>
        <v>7049.477582190355</v>
      </c>
      <c r="K44" s="139">
        <f t="shared" ref="K44" si="39">K45+K46+K47+K49+K48</f>
        <v>7336.674149139526</v>
      </c>
      <c r="L44" s="139">
        <f t="shared" ref="L44" si="40">L45+L46+L47+L49+L48</f>
        <v>7853.4538860592656</v>
      </c>
      <c r="M44" s="139">
        <f t="shared" ref="M44" si="41">M45+M46+M47+M49+M48</f>
        <v>7986.2427001974593</v>
      </c>
      <c r="N44" s="141">
        <f t="shared" ref="N44" si="42">N45+N46+N47+N49+N48</f>
        <v>7708.7722023194001</v>
      </c>
      <c r="O44" s="61"/>
      <c r="P44" s="163"/>
      <c r="Q44" s="163"/>
      <c r="R44" s="164"/>
    </row>
    <row r="45" spans="1:18" s="13" customFormat="1" ht="15" customHeight="1" x14ac:dyDescent="0.2">
      <c r="A45" s="23"/>
      <c r="B45" s="39" t="s">
        <v>111</v>
      </c>
      <c r="C45" s="142">
        <f>C$73</f>
        <v>3665.7106550378771</v>
      </c>
      <c r="D45" s="142">
        <f t="shared" ref="D45:N45" si="43">D$73</f>
        <v>4039.542671684565</v>
      </c>
      <c r="E45" s="143">
        <f t="shared" si="43"/>
        <v>3795.2813267436359</v>
      </c>
      <c r="F45" s="143">
        <f t="shared" si="43"/>
        <v>3792.9206632840846</v>
      </c>
      <c r="G45" s="144">
        <f t="shared" si="43"/>
        <v>3765.5739147585764</v>
      </c>
      <c r="H45" s="142">
        <f t="shared" si="43"/>
        <v>3917.9816472500447</v>
      </c>
      <c r="I45" s="142">
        <f t="shared" si="43"/>
        <v>4236.8747774411313</v>
      </c>
      <c r="J45" s="142">
        <f t="shared" si="43"/>
        <v>4091.9945821903557</v>
      </c>
      <c r="K45" s="142">
        <f t="shared" si="43"/>
        <v>4378.6711491395254</v>
      </c>
      <c r="L45" s="142">
        <f t="shared" si="43"/>
        <v>4330.6303560227407</v>
      </c>
      <c r="M45" s="142">
        <f t="shared" si="43"/>
        <v>4463.5891701609335</v>
      </c>
      <c r="N45" s="145">
        <f t="shared" si="43"/>
        <v>4186.2986722828755</v>
      </c>
      <c r="O45" s="61"/>
    </row>
    <row r="46" spans="1:18" s="13" customFormat="1" ht="15" customHeight="1" x14ac:dyDescent="0.2">
      <c r="A46" s="25"/>
      <c r="B46" s="26" t="s">
        <v>8</v>
      </c>
      <c r="C46" s="146">
        <v>2725.6</v>
      </c>
      <c r="D46" s="146">
        <v>2725.6</v>
      </c>
      <c r="E46" s="99">
        <v>2725.6</v>
      </c>
      <c r="F46" s="99">
        <v>2725.6</v>
      </c>
      <c r="G46" s="147">
        <v>2725.6</v>
      </c>
      <c r="H46" s="146">
        <v>2725.6</v>
      </c>
      <c r="I46" s="146">
        <v>2725.6</v>
      </c>
      <c r="J46" s="146">
        <v>2725.6</v>
      </c>
      <c r="K46" s="146">
        <v>2725.6</v>
      </c>
      <c r="L46" s="146">
        <v>3139.89</v>
      </c>
      <c r="M46" s="146">
        <v>3139.89</v>
      </c>
      <c r="N46" s="148">
        <v>3139.89</v>
      </c>
      <c r="O46" s="61"/>
    </row>
    <row r="47" spans="1:18" s="13" customFormat="1" ht="15" customHeight="1" x14ac:dyDescent="0.2">
      <c r="A47" s="29"/>
      <c r="B47" s="30" t="s">
        <v>9</v>
      </c>
      <c r="C47" s="114">
        <v>224.61</v>
      </c>
      <c r="D47" s="114">
        <v>224.61</v>
      </c>
      <c r="E47" s="115">
        <v>224.61</v>
      </c>
      <c r="F47" s="115">
        <v>224.61</v>
      </c>
      <c r="G47" s="116">
        <v>224.61</v>
      </c>
      <c r="H47" s="114">
        <v>224.61</v>
      </c>
      <c r="I47" s="114">
        <v>224.61</v>
      </c>
      <c r="J47" s="114">
        <v>224.61</v>
      </c>
      <c r="K47" s="114">
        <v>224.61</v>
      </c>
      <c r="L47" s="114">
        <v>375.09</v>
      </c>
      <c r="M47" s="114">
        <v>375.09</v>
      </c>
      <c r="N47" s="117">
        <v>375.09</v>
      </c>
      <c r="O47" s="61"/>
    </row>
    <row r="48" spans="1:18" s="13" customFormat="1" ht="25.5" x14ac:dyDescent="0.2">
      <c r="A48" s="25"/>
      <c r="B48" s="26" t="s">
        <v>116</v>
      </c>
      <c r="C48" s="106">
        <v>1.1299999999999999</v>
      </c>
      <c r="D48" s="106">
        <v>1.88</v>
      </c>
      <c r="E48" s="107">
        <v>1.56</v>
      </c>
      <c r="F48" s="107">
        <v>1.88</v>
      </c>
      <c r="G48" s="108">
        <v>1.62</v>
      </c>
      <c r="H48" s="106">
        <v>1.78</v>
      </c>
      <c r="I48" s="106">
        <v>1.71</v>
      </c>
      <c r="J48" s="106">
        <v>1.91</v>
      </c>
      <c r="K48" s="106">
        <v>2.4300000000000002</v>
      </c>
      <c r="L48" s="106">
        <v>1.72</v>
      </c>
      <c r="M48" s="106">
        <v>1.55</v>
      </c>
      <c r="N48" s="109">
        <v>1.37</v>
      </c>
      <c r="O48" s="61"/>
    </row>
    <row r="49" spans="1:18" s="13" customFormat="1" ht="15" customHeight="1" thickBot="1" x14ac:dyDescent="0.25">
      <c r="A49" s="32"/>
      <c r="B49" s="33" t="s">
        <v>42</v>
      </c>
      <c r="C49" s="106">
        <v>5.3629999999999995</v>
      </c>
      <c r="D49" s="106">
        <v>5.3629999999999995</v>
      </c>
      <c r="E49" s="107">
        <v>5.3629999999999995</v>
      </c>
      <c r="F49" s="107">
        <v>5.3629999999999995</v>
      </c>
      <c r="G49" s="108">
        <v>5.3629999999999995</v>
      </c>
      <c r="H49" s="106">
        <v>5.3629999999999995</v>
      </c>
      <c r="I49" s="106">
        <v>5.3629999999999995</v>
      </c>
      <c r="J49" s="106">
        <v>5.3629999999999995</v>
      </c>
      <c r="K49" s="106">
        <v>5.3629999999999995</v>
      </c>
      <c r="L49" s="106">
        <v>6.1235300365250511</v>
      </c>
      <c r="M49" s="106">
        <v>6.1235300365250511</v>
      </c>
      <c r="N49" s="109">
        <v>6.1235300365250511</v>
      </c>
      <c r="O49" s="61"/>
    </row>
    <row r="50" spans="1:18" s="13" customFormat="1" ht="26.25" customHeight="1" thickBot="1" x14ac:dyDescent="0.25">
      <c r="A50" s="36" t="s">
        <v>33</v>
      </c>
      <c r="B50" s="37" t="s">
        <v>11</v>
      </c>
      <c r="C50" s="138">
        <f>C51+C52+C54+C53</f>
        <v>3896.8136550378772</v>
      </c>
      <c r="D50" s="138">
        <f t="shared" ref="D50" si="44">D51+D52+D54+D53</f>
        <v>4271.3956716845651</v>
      </c>
      <c r="E50" s="139">
        <f t="shared" ref="E50" si="45">E51+E52+E54+E53</f>
        <v>4026.8143267436358</v>
      </c>
      <c r="F50" s="139">
        <f t="shared" ref="F50" si="46">F51+F52+F54+F53</f>
        <v>4024.7736632840847</v>
      </c>
      <c r="G50" s="149">
        <f t="shared" ref="G50" si="47">G51+G52+G54+G53</f>
        <v>3997.1669147585762</v>
      </c>
      <c r="H50" s="138">
        <f t="shared" ref="H50" si="48">H51+H52+H54+H53</f>
        <v>4149.7346472500449</v>
      </c>
      <c r="I50" s="138">
        <f t="shared" ref="I50" si="49">I51+I52+I54+I53</f>
        <v>4468.5577774411313</v>
      </c>
      <c r="J50" s="138">
        <f t="shared" ref="J50" si="50">J51+J52+J54+J53</f>
        <v>4323.8775821903555</v>
      </c>
      <c r="K50" s="138">
        <f t="shared" ref="K50" si="51">K51+K52+K54+K53</f>
        <v>4611.0741491395256</v>
      </c>
      <c r="L50" s="138">
        <f t="shared" ref="L50" si="52">L51+L52+L54+L53</f>
        <v>4713.5638860592662</v>
      </c>
      <c r="M50" s="138">
        <f t="shared" ref="M50" si="53">M51+M52+M54+M53</f>
        <v>4846.3527001974589</v>
      </c>
      <c r="N50" s="150">
        <f t="shared" ref="N50" si="54">N51+N52+N54+N53</f>
        <v>4568.8822023194007</v>
      </c>
      <c r="O50" s="61"/>
      <c r="P50" s="163"/>
      <c r="Q50" s="163"/>
      <c r="R50" s="164"/>
    </row>
    <row r="51" spans="1:18" s="13" customFormat="1" ht="15" customHeight="1" x14ac:dyDescent="0.2">
      <c r="A51" s="38"/>
      <c r="B51" s="39" t="s">
        <v>111</v>
      </c>
      <c r="C51" s="151">
        <f>C45</f>
        <v>3665.7106550378771</v>
      </c>
      <c r="D51" s="151">
        <f t="shared" ref="D51:N51" si="55">D45</f>
        <v>4039.542671684565</v>
      </c>
      <c r="E51" s="152">
        <f t="shared" si="55"/>
        <v>3795.2813267436359</v>
      </c>
      <c r="F51" s="152">
        <f t="shared" si="55"/>
        <v>3792.9206632840846</v>
      </c>
      <c r="G51" s="153">
        <f t="shared" si="55"/>
        <v>3765.5739147585764</v>
      </c>
      <c r="H51" s="152">
        <f t="shared" si="55"/>
        <v>3917.9816472500447</v>
      </c>
      <c r="I51" s="152">
        <f t="shared" si="55"/>
        <v>4236.8747774411313</v>
      </c>
      <c r="J51" s="152">
        <f t="shared" si="55"/>
        <v>4091.9945821903557</v>
      </c>
      <c r="K51" s="152">
        <f t="shared" si="55"/>
        <v>4378.6711491395254</v>
      </c>
      <c r="L51" s="152">
        <f t="shared" si="55"/>
        <v>4330.6303560227407</v>
      </c>
      <c r="M51" s="152">
        <f t="shared" si="55"/>
        <v>4463.5891701609335</v>
      </c>
      <c r="N51" s="154">
        <f t="shared" si="55"/>
        <v>4186.2986722828755</v>
      </c>
    </row>
    <row r="52" spans="1:18" s="13" customFormat="1" ht="15" customHeight="1" x14ac:dyDescent="0.2">
      <c r="A52" s="40"/>
      <c r="B52" s="26" t="s">
        <v>9</v>
      </c>
      <c r="C52" s="114">
        <f>C47</f>
        <v>224.61</v>
      </c>
      <c r="D52" s="114">
        <f t="shared" ref="D52:N52" si="56">D47</f>
        <v>224.61</v>
      </c>
      <c r="E52" s="115">
        <f t="shared" si="56"/>
        <v>224.61</v>
      </c>
      <c r="F52" s="115">
        <f t="shared" si="56"/>
        <v>224.61</v>
      </c>
      <c r="G52" s="121">
        <f t="shared" si="56"/>
        <v>224.61</v>
      </c>
      <c r="H52" s="115">
        <f t="shared" si="56"/>
        <v>224.61</v>
      </c>
      <c r="I52" s="115">
        <f t="shared" si="56"/>
        <v>224.61</v>
      </c>
      <c r="J52" s="115">
        <f t="shared" si="56"/>
        <v>224.61</v>
      </c>
      <c r="K52" s="115">
        <f t="shared" si="56"/>
        <v>224.61</v>
      </c>
      <c r="L52" s="115">
        <f t="shared" si="56"/>
        <v>375.09</v>
      </c>
      <c r="M52" s="115">
        <f t="shared" si="56"/>
        <v>375.09</v>
      </c>
      <c r="N52" s="122">
        <f t="shared" si="56"/>
        <v>375.09</v>
      </c>
    </row>
    <row r="53" spans="1:18" s="13" customFormat="1" ht="25.5" x14ac:dyDescent="0.2">
      <c r="A53" s="25"/>
      <c r="B53" s="30" t="s">
        <v>116</v>
      </c>
      <c r="C53" s="174">
        <v>1.1299999999999999</v>
      </c>
      <c r="D53" s="174">
        <v>1.88</v>
      </c>
      <c r="E53" s="175">
        <v>1.56</v>
      </c>
      <c r="F53" s="107">
        <v>1.88</v>
      </c>
      <c r="G53" s="176">
        <v>1.62</v>
      </c>
      <c r="H53" s="175">
        <v>1.78</v>
      </c>
      <c r="I53" s="175">
        <v>1.71</v>
      </c>
      <c r="J53" s="175">
        <v>1.91</v>
      </c>
      <c r="K53" s="175">
        <v>2.4300000000000002</v>
      </c>
      <c r="L53" s="175">
        <v>1.72</v>
      </c>
      <c r="M53" s="175">
        <v>1.55</v>
      </c>
      <c r="N53" s="177">
        <v>1.37</v>
      </c>
    </row>
    <row r="54" spans="1:18" s="13" customFormat="1" ht="15" customHeight="1" thickBot="1" x14ac:dyDescent="0.25">
      <c r="A54" s="41"/>
      <c r="B54" s="33" t="s">
        <v>42</v>
      </c>
      <c r="C54" s="110">
        <f>C49</f>
        <v>5.3629999999999995</v>
      </c>
      <c r="D54" s="110">
        <f t="shared" ref="D54:N54" si="57">D49</f>
        <v>5.3629999999999995</v>
      </c>
      <c r="E54" s="111">
        <f t="shared" si="57"/>
        <v>5.3629999999999995</v>
      </c>
      <c r="F54" s="98">
        <f t="shared" si="57"/>
        <v>5.3629999999999995</v>
      </c>
      <c r="G54" s="112">
        <f t="shared" si="57"/>
        <v>5.3629999999999995</v>
      </c>
      <c r="H54" s="111">
        <f t="shared" si="57"/>
        <v>5.3629999999999995</v>
      </c>
      <c r="I54" s="111">
        <f t="shared" si="57"/>
        <v>5.3629999999999995</v>
      </c>
      <c r="J54" s="111">
        <f t="shared" si="57"/>
        <v>5.3629999999999995</v>
      </c>
      <c r="K54" s="111">
        <f t="shared" si="57"/>
        <v>5.3629999999999995</v>
      </c>
      <c r="L54" s="111">
        <f t="shared" si="57"/>
        <v>6.1235300365250511</v>
      </c>
      <c r="M54" s="111">
        <f t="shared" si="57"/>
        <v>6.1235300365250511</v>
      </c>
      <c r="N54" s="113">
        <f t="shared" si="57"/>
        <v>6.1235300365250511</v>
      </c>
    </row>
    <row r="55" spans="1:18" s="13" customFormat="1" ht="15" customHeight="1" x14ac:dyDescent="0.2">
      <c r="A55" s="45"/>
      <c r="B55" s="46"/>
      <c r="C55" s="47"/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18" s="13" customFormat="1" ht="15" customHeight="1" x14ac:dyDescent="0.2">
      <c r="A56" s="45"/>
      <c r="B56" s="46"/>
      <c r="C56" s="47"/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</row>
    <row r="57" spans="1:18" s="59" customFormat="1" ht="21" customHeight="1" thickBot="1" x14ac:dyDescent="0.25">
      <c r="A57" s="7" t="s">
        <v>77</v>
      </c>
      <c r="B57" s="7"/>
      <c r="C57" s="7"/>
      <c r="D57" s="7"/>
      <c r="E57" s="7"/>
      <c r="F57" s="7"/>
      <c r="G57" s="5"/>
      <c r="H57" s="5"/>
      <c r="I57" s="5"/>
      <c r="J57" s="5"/>
      <c r="K57" s="5"/>
      <c r="L57" s="6"/>
      <c r="M57" s="6"/>
      <c r="N57" s="6"/>
    </row>
    <row r="58" spans="1:18" s="13" customFormat="1" ht="24" customHeight="1" thickBot="1" x14ac:dyDescent="0.25">
      <c r="A58" s="49" t="s">
        <v>0</v>
      </c>
      <c r="B58" s="50" t="s">
        <v>1</v>
      </c>
      <c r="C58" s="51" t="s">
        <v>17</v>
      </c>
      <c r="D58" s="51" t="s">
        <v>18</v>
      </c>
      <c r="E58" s="51" t="s">
        <v>19</v>
      </c>
      <c r="F58" s="51" t="s">
        <v>20</v>
      </c>
      <c r="G58" s="51" t="s">
        <v>21</v>
      </c>
      <c r="H58" s="51" t="s">
        <v>22</v>
      </c>
      <c r="I58" s="51" t="s">
        <v>23</v>
      </c>
      <c r="J58" s="51" t="s">
        <v>24</v>
      </c>
      <c r="K58" s="51" t="s">
        <v>25</v>
      </c>
      <c r="L58" s="51" t="s">
        <v>26</v>
      </c>
      <c r="M58" s="51" t="s">
        <v>27</v>
      </c>
      <c r="N58" s="52" t="s">
        <v>28</v>
      </c>
    </row>
    <row r="59" spans="1:18" s="17" customFormat="1" ht="21" customHeight="1" thickBot="1" x14ac:dyDescent="0.25">
      <c r="A59" s="14" t="s">
        <v>34</v>
      </c>
      <c r="B59" s="15" t="s">
        <v>5</v>
      </c>
      <c r="C59" s="16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2"/>
      <c r="O59" s="44"/>
    </row>
    <row r="60" spans="1:18" s="17" customFormat="1" ht="13.5" thickBot="1" x14ac:dyDescent="0.25">
      <c r="A60" s="18" t="s">
        <v>35</v>
      </c>
      <c r="B60" s="19" t="s">
        <v>7</v>
      </c>
      <c r="C60" s="138">
        <f>C61+C62+C63+C65+C64</f>
        <v>8298.573655037877</v>
      </c>
      <c r="D60" s="138">
        <f t="shared" ref="D60" si="58">D61+D62+D63+D65+D64</f>
        <v>8673.1556716845644</v>
      </c>
      <c r="E60" s="139">
        <f t="shared" ref="E60" si="59">E61+E62+E63+E65+E64</f>
        <v>8428.5743267436355</v>
      </c>
      <c r="F60" s="139">
        <f t="shared" ref="F60" si="60">F61+F62+F63+F65+F64</f>
        <v>8426.5336632840845</v>
      </c>
      <c r="G60" s="140">
        <f t="shared" ref="G60" si="61">G61+G62+G63+G65+G64</f>
        <v>8398.9269147585765</v>
      </c>
      <c r="H60" s="139">
        <f t="shared" ref="H60" si="62">H61+H62+H63+H65+H64</f>
        <v>8551.4946472500451</v>
      </c>
      <c r="I60" s="139">
        <f t="shared" ref="I60" si="63">I61+I62+I63+I65+I64</f>
        <v>8870.3177774411306</v>
      </c>
      <c r="J60" s="139">
        <f t="shared" ref="J60" si="64">J61+J62+J63+J65+J64</f>
        <v>8725.6375821903548</v>
      </c>
      <c r="K60" s="139">
        <f t="shared" ref="K60" si="65">K61+K62+K63+K65+K64</f>
        <v>9012.8341491395258</v>
      </c>
      <c r="L60" s="139">
        <f t="shared" ref="L60" si="66">L61+L62+L63+L65+L64</f>
        <v>9784.3938860592643</v>
      </c>
      <c r="M60" s="139">
        <f t="shared" ref="M60" si="67">M61+M62+M63+M65+M64</f>
        <v>9917.182700197458</v>
      </c>
      <c r="N60" s="141">
        <f t="shared" ref="N60" si="68">N61+N62+N63+N65+N64</f>
        <v>9639.7122023194006</v>
      </c>
      <c r="O60" s="61"/>
      <c r="P60" s="163"/>
      <c r="Q60" s="163"/>
      <c r="R60" s="164"/>
    </row>
    <row r="61" spans="1:18" s="13" customFormat="1" ht="15" customHeight="1" x14ac:dyDescent="0.2">
      <c r="A61" s="23"/>
      <c r="B61" s="39" t="s">
        <v>111</v>
      </c>
      <c r="C61" s="142">
        <f>C$73</f>
        <v>3665.7106550378771</v>
      </c>
      <c r="D61" s="142">
        <f t="shared" ref="D61:N61" si="69">D$73</f>
        <v>4039.542671684565</v>
      </c>
      <c r="E61" s="143">
        <f t="shared" si="69"/>
        <v>3795.2813267436359</v>
      </c>
      <c r="F61" s="143">
        <f t="shared" si="69"/>
        <v>3792.9206632840846</v>
      </c>
      <c r="G61" s="144">
        <f t="shared" si="69"/>
        <v>3765.5739147585764</v>
      </c>
      <c r="H61" s="142">
        <f t="shared" si="69"/>
        <v>3917.9816472500447</v>
      </c>
      <c r="I61" s="142">
        <f t="shared" si="69"/>
        <v>4236.8747774411313</v>
      </c>
      <c r="J61" s="142">
        <f t="shared" si="69"/>
        <v>4091.9945821903557</v>
      </c>
      <c r="K61" s="142">
        <f t="shared" si="69"/>
        <v>4378.6711491395254</v>
      </c>
      <c r="L61" s="142">
        <f t="shared" si="69"/>
        <v>4330.6303560227407</v>
      </c>
      <c r="M61" s="142">
        <f t="shared" si="69"/>
        <v>4463.5891701609335</v>
      </c>
      <c r="N61" s="145">
        <f t="shared" si="69"/>
        <v>4186.2986722828755</v>
      </c>
      <c r="O61" s="61"/>
    </row>
    <row r="62" spans="1:18" s="13" customFormat="1" ht="15" customHeight="1" x14ac:dyDescent="0.2">
      <c r="A62" s="25"/>
      <c r="B62" s="26" t="s">
        <v>8</v>
      </c>
      <c r="C62" s="146">
        <v>4401.76</v>
      </c>
      <c r="D62" s="146">
        <v>4401.76</v>
      </c>
      <c r="E62" s="99">
        <v>4401.76</v>
      </c>
      <c r="F62" s="99">
        <v>4401.76</v>
      </c>
      <c r="G62" s="147">
        <v>4401.76</v>
      </c>
      <c r="H62" s="146">
        <v>4401.76</v>
      </c>
      <c r="I62" s="146">
        <v>4401.76</v>
      </c>
      <c r="J62" s="146">
        <v>4401.76</v>
      </c>
      <c r="K62" s="146">
        <v>4401.76</v>
      </c>
      <c r="L62" s="146">
        <v>5070.83</v>
      </c>
      <c r="M62" s="146">
        <v>5070.83</v>
      </c>
      <c r="N62" s="148">
        <v>5070.83</v>
      </c>
      <c r="O62" s="61"/>
    </row>
    <row r="63" spans="1:18" s="13" customFormat="1" ht="15" customHeight="1" x14ac:dyDescent="0.2">
      <c r="A63" s="29"/>
      <c r="B63" s="26" t="s">
        <v>9</v>
      </c>
      <c r="C63" s="114">
        <v>224.61</v>
      </c>
      <c r="D63" s="114">
        <v>224.61</v>
      </c>
      <c r="E63" s="115">
        <v>224.61</v>
      </c>
      <c r="F63" s="115">
        <v>224.61</v>
      </c>
      <c r="G63" s="116">
        <v>224.61</v>
      </c>
      <c r="H63" s="114">
        <v>224.61</v>
      </c>
      <c r="I63" s="114">
        <v>224.61</v>
      </c>
      <c r="J63" s="114">
        <v>224.61</v>
      </c>
      <c r="K63" s="114">
        <v>224.61</v>
      </c>
      <c r="L63" s="114">
        <v>375.09</v>
      </c>
      <c r="M63" s="114">
        <v>375.09</v>
      </c>
      <c r="N63" s="117">
        <v>375.09</v>
      </c>
      <c r="O63" s="61"/>
    </row>
    <row r="64" spans="1:18" s="13" customFormat="1" ht="25.5" x14ac:dyDescent="0.2">
      <c r="A64" s="25"/>
      <c r="B64" s="30" t="s">
        <v>116</v>
      </c>
      <c r="C64" s="106">
        <v>1.1299999999999999</v>
      </c>
      <c r="D64" s="106">
        <v>1.88</v>
      </c>
      <c r="E64" s="107">
        <v>1.56</v>
      </c>
      <c r="F64" s="107">
        <v>1.88</v>
      </c>
      <c r="G64" s="108">
        <v>1.62</v>
      </c>
      <c r="H64" s="106">
        <v>1.78</v>
      </c>
      <c r="I64" s="106">
        <v>1.71</v>
      </c>
      <c r="J64" s="106">
        <v>1.91</v>
      </c>
      <c r="K64" s="106">
        <v>2.4300000000000002</v>
      </c>
      <c r="L64" s="106">
        <v>1.72</v>
      </c>
      <c r="M64" s="106">
        <v>1.55</v>
      </c>
      <c r="N64" s="109">
        <v>1.37</v>
      </c>
      <c r="O64" s="61"/>
    </row>
    <row r="65" spans="1:18" s="13" customFormat="1" ht="15" customHeight="1" thickBot="1" x14ac:dyDescent="0.25">
      <c r="A65" s="32"/>
      <c r="B65" s="33" t="s">
        <v>42</v>
      </c>
      <c r="C65" s="106">
        <v>5.3629999999999995</v>
      </c>
      <c r="D65" s="106">
        <v>5.3629999999999995</v>
      </c>
      <c r="E65" s="107">
        <v>5.3629999999999995</v>
      </c>
      <c r="F65" s="107">
        <v>5.3629999999999995</v>
      </c>
      <c r="G65" s="108">
        <v>5.3629999999999995</v>
      </c>
      <c r="H65" s="106">
        <v>5.3629999999999995</v>
      </c>
      <c r="I65" s="106">
        <v>5.3629999999999995</v>
      </c>
      <c r="J65" s="106">
        <v>5.3629999999999995</v>
      </c>
      <c r="K65" s="106">
        <v>5.3629999999999995</v>
      </c>
      <c r="L65" s="106">
        <v>6.1235300365250511</v>
      </c>
      <c r="M65" s="106">
        <v>6.1235300365250511</v>
      </c>
      <c r="N65" s="109">
        <v>6.1235300365250511</v>
      </c>
      <c r="O65" s="61"/>
    </row>
    <row r="66" spans="1:18" s="13" customFormat="1" ht="26.25" customHeight="1" thickBot="1" x14ac:dyDescent="0.25">
      <c r="A66" s="36" t="s">
        <v>36</v>
      </c>
      <c r="B66" s="37" t="s">
        <v>11</v>
      </c>
      <c r="C66" s="138">
        <f>C67+C68+C70+C69</f>
        <v>3896.8136550378772</v>
      </c>
      <c r="D66" s="138">
        <f t="shared" ref="D66" si="70">D67+D68+D70+D69</f>
        <v>4271.3956716845651</v>
      </c>
      <c r="E66" s="139">
        <f t="shared" ref="E66" si="71">E67+E68+E70+E69</f>
        <v>4026.8143267436358</v>
      </c>
      <c r="F66" s="139">
        <f t="shared" ref="F66" si="72">F67+F68+F70+F69</f>
        <v>4024.7736632840847</v>
      </c>
      <c r="G66" s="149">
        <f t="shared" ref="G66" si="73">G67+G68+G70+G69</f>
        <v>3997.1669147585762</v>
      </c>
      <c r="H66" s="138">
        <f t="shared" ref="H66" si="74">H67+H68+H70+H69</f>
        <v>4149.7346472500449</v>
      </c>
      <c r="I66" s="138">
        <f t="shared" ref="I66" si="75">I67+I68+I70+I69</f>
        <v>4468.5577774411313</v>
      </c>
      <c r="J66" s="138">
        <f t="shared" ref="J66" si="76">J67+J68+J70+J69</f>
        <v>4323.8775821903555</v>
      </c>
      <c r="K66" s="138">
        <f t="shared" ref="K66" si="77">K67+K68+K70+K69</f>
        <v>4611.0741491395256</v>
      </c>
      <c r="L66" s="138">
        <f t="shared" ref="L66" si="78">L67+L68+L70+L69</f>
        <v>4713.5638860592662</v>
      </c>
      <c r="M66" s="138">
        <f t="shared" ref="M66" si="79">M67+M68+M70+M69</f>
        <v>4846.3527001974589</v>
      </c>
      <c r="N66" s="150">
        <f t="shared" ref="N66" si="80">N67+N68+N70+N69</f>
        <v>4568.8822023194007</v>
      </c>
      <c r="O66" s="61"/>
      <c r="P66" s="163"/>
      <c r="Q66" s="163"/>
      <c r="R66" s="164"/>
    </row>
    <row r="67" spans="1:18" s="13" customFormat="1" ht="15" customHeight="1" x14ac:dyDescent="0.2">
      <c r="A67" s="38"/>
      <c r="B67" s="39" t="s">
        <v>111</v>
      </c>
      <c r="C67" s="151">
        <f>C61</f>
        <v>3665.7106550378771</v>
      </c>
      <c r="D67" s="151">
        <f t="shared" ref="D67:N67" si="81">D61</f>
        <v>4039.542671684565</v>
      </c>
      <c r="E67" s="152">
        <f t="shared" si="81"/>
        <v>3795.2813267436359</v>
      </c>
      <c r="F67" s="152">
        <f t="shared" si="81"/>
        <v>3792.9206632840846</v>
      </c>
      <c r="G67" s="153">
        <f t="shared" si="81"/>
        <v>3765.5739147585764</v>
      </c>
      <c r="H67" s="152">
        <f t="shared" si="81"/>
        <v>3917.9816472500447</v>
      </c>
      <c r="I67" s="152">
        <f t="shared" si="81"/>
        <v>4236.8747774411313</v>
      </c>
      <c r="J67" s="152">
        <f t="shared" si="81"/>
        <v>4091.9945821903557</v>
      </c>
      <c r="K67" s="152">
        <f t="shared" si="81"/>
        <v>4378.6711491395254</v>
      </c>
      <c r="L67" s="152">
        <f t="shared" si="81"/>
        <v>4330.6303560227407</v>
      </c>
      <c r="M67" s="152">
        <f t="shared" si="81"/>
        <v>4463.5891701609335</v>
      </c>
      <c r="N67" s="154">
        <f t="shared" si="81"/>
        <v>4186.2986722828755</v>
      </c>
    </row>
    <row r="68" spans="1:18" s="13" customFormat="1" ht="15" customHeight="1" x14ac:dyDescent="0.2">
      <c r="A68" s="40"/>
      <c r="B68" s="26" t="s">
        <v>9</v>
      </c>
      <c r="C68" s="114">
        <f>C63</f>
        <v>224.61</v>
      </c>
      <c r="D68" s="114">
        <f t="shared" ref="D68:N68" si="82">D63</f>
        <v>224.61</v>
      </c>
      <c r="E68" s="115">
        <f t="shared" si="82"/>
        <v>224.61</v>
      </c>
      <c r="F68" s="115">
        <f t="shared" si="82"/>
        <v>224.61</v>
      </c>
      <c r="G68" s="121">
        <f t="shared" si="82"/>
        <v>224.61</v>
      </c>
      <c r="H68" s="115">
        <f t="shared" si="82"/>
        <v>224.61</v>
      </c>
      <c r="I68" s="115">
        <f t="shared" si="82"/>
        <v>224.61</v>
      </c>
      <c r="J68" s="115">
        <f t="shared" si="82"/>
        <v>224.61</v>
      </c>
      <c r="K68" s="115">
        <f t="shared" si="82"/>
        <v>224.61</v>
      </c>
      <c r="L68" s="115">
        <f t="shared" si="82"/>
        <v>375.09</v>
      </c>
      <c r="M68" s="115">
        <f t="shared" si="82"/>
        <v>375.09</v>
      </c>
      <c r="N68" s="122">
        <f t="shared" si="82"/>
        <v>375.09</v>
      </c>
    </row>
    <row r="69" spans="1:18" s="13" customFormat="1" ht="25.5" x14ac:dyDescent="0.2">
      <c r="A69" s="25"/>
      <c r="B69" s="26" t="s">
        <v>116</v>
      </c>
      <c r="C69" s="174">
        <v>1.1299999999999999</v>
      </c>
      <c r="D69" s="174">
        <v>1.88</v>
      </c>
      <c r="E69" s="175">
        <v>1.56</v>
      </c>
      <c r="F69" s="107">
        <v>1.88</v>
      </c>
      <c r="G69" s="176">
        <v>1.62</v>
      </c>
      <c r="H69" s="175">
        <v>1.78</v>
      </c>
      <c r="I69" s="175">
        <v>1.71</v>
      </c>
      <c r="J69" s="175">
        <v>1.91</v>
      </c>
      <c r="K69" s="175">
        <v>2.4300000000000002</v>
      </c>
      <c r="L69" s="175">
        <v>1.72</v>
      </c>
      <c r="M69" s="175">
        <v>1.55</v>
      </c>
      <c r="N69" s="177">
        <v>1.37</v>
      </c>
    </row>
    <row r="70" spans="1:18" s="13" customFormat="1" ht="15" customHeight="1" thickBot="1" x14ac:dyDescent="0.25">
      <c r="A70" s="41"/>
      <c r="B70" s="42" t="s">
        <v>42</v>
      </c>
      <c r="C70" s="110">
        <f>C65</f>
        <v>5.3629999999999995</v>
      </c>
      <c r="D70" s="110">
        <f t="shared" ref="D70:N70" si="83">D65</f>
        <v>5.3629999999999995</v>
      </c>
      <c r="E70" s="111">
        <f t="shared" si="83"/>
        <v>5.3629999999999995</v>
      </c>
      <c r="F70" s="98">
        <f t="shared" si="83"/>
        <v>5.3629999999999995</v>
      </c>
      <c r="G70" s="112">
        <f t="shared" si="83"/>
        <v>5.3629999999999995</v>
      </c>
      <c r="H70" s="111">
        <f t="shared" si="83"/>
        <v>5.3629999999999995</v>
      </c>
      <c r="I70" s="111">
        <f t="shared" si="83"/>
        <v>5.3629999999999995</v>
      </c>
      <c r="J70" s="111">
        <f t="shared" si="83"/>
        <v>5.3629999999999995</v>
      </c>
      <c r="K70" s="111">
        <f t="shared" si="83"/>
        <v>5.3629999999999995</v>
      </c>
      <c r="L70" s="111">
        <f t="shared" si="83"/>
        <v>6.1235300365250511</v>
      </c>
      <c r="M70" s="111">
        <f t="shared" si="83"/>
        <v>6.1235300365250511</v>
      </c>
      <c r="N70" s="113">
        <f t="shared" si="83"/>
        <v>6.1235300365250511</v>
      </c>
    </row>
    <row r="71" spans="1:18" s="13" customFormat="1" ht="15" customHeight="1" x14ac:dyDescent="0.2">
      <c r="A71" s="45"/>
      <c r="B71" s="46"/>
      <c r="C71" s="47"/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</row>
    <row r="72" spans="1:18" ht="15" customHeight="1" x14ac:dyDescent="0.2"/>
    <row r="73" spans="1:18" s="62" customFormat="1" ht="32.25" customHeight="1" x14ac:dyDescent="0.2">
      <c r="A73" s="203" t="s">
        <v>106</v>
      </c>
      <c r="B73" s="203"/>
      <c r="C73" s="105">
        <f>C74+C75*C76</f>
        <v>3665.7106550378771</v>
      </c>
      <c r="D73" s="105">
        <f t="shared" ref="D73:N73" si="84">D74+D75*D76</f>
        <v>4039.542671684565</v>
      </c>
      <c r="E73" s="105">
        <f t="shared" si="84"/>
        <v>3795.2813267436359</v>
      </c>
      <c r="F73" s="105">
        <f t="shared" si="84"/>
        <v>3792.9206632840846</v>
      </c>
      <c r="G73" s="105">
        <f t="shared" si="84"/>
        <v>3765.5739147585764</v>
      </c>
      <c r="H73" s="105">
        <f t="shared" si="84"/>
        <v>3917.9816472500447</v>
      </c>
      <c r="I73" s="105">
        <f t="shared" si="84"/>
        <v>4236.8747774411313</v>
      </c>
      <c r="J73" s="105">
        <f t="shared" si="84"/>
        <v>4091.9945821903557</v>
      </c>
      <c r="K73" s="105">
        <f t="shared" si="84"/>
        <v>4378.6711491395254</v>
      </c>
      <c r="L73" s="105">
        <f t="shared" si="84"/>
        <v>4330.6303560227407</v>
      </c>
      <c r="M73" s="105">
        <f t="shared" si="84"/>
        <v>4463.5891701609335</v>
      </c>
      <c r="N73" s="105">
        <f t="shared" si="84"/>
        <v>4186.2986722828755</v>
      </c>
    </row>
    <row r="74" spans="1:18" s="62" customFormat="1" ht="30" customHeight="1" x14ac:dyDescent="0.2">
      <c r="A74" s="207" t="s">
        <v>12</v>
      </c>
      <c r="B74" s="207"/>
      <c r="C74" s="105">
        <v>2190.75</v>
      </c>
      <c r="D74" s="105">
        <v>2387.83</v>
      </c>
      <c r="E74" s="105">
        <v>2396.5</v>
      </c>
      <c r="F74" s="105">
        <v>2360.83</v>
      </c>
      <c r="G74" s="105">
        <v>2338.6</v>
      </c>
      <c r="H74" s="105">
        <v>2349.63</v>
      </c>
      <c r="I74" s="105">
        <v>2605.3000000000002</v>
      </c>
      <c r="J74" s="105">
        <v>2631.86</v>
      </c>
      <c r="K74" s="105">
        <v>2580.61</v>
      </c>
      <c r="L74" s="105">
        <v>2625.93</v>
      </c>
      <c r="M74" s="105">
        <v>2678.81</v>
      </c>
      <c r="N74" s="105">
        <v>2629.95</v>
      </c>
    </row>
    <row r="75" spans="1:18" s="62" customFormat="1" ht="30" customHeight="1" x14ac:dyDescent="0.2">
      <c r="A75" s="207" t="s">
        <v>13</v>
      </c>
      <c r="B75" s="207"/>
      <c r="C75" s="105">
        <v>1062840.8600000001</v>
      </c>
      <c r="D75" s="105">
        <v>1005852.64</v>
      </c>
      <c r="E75" s="105">
        <v>1061271.9099999999</v>
      </c>
      <c r="F75" s="105">
        <v>1054812.9099999999</v>
      </c>
      <c r="G75" s="105">
        <v>1225755.28</v>
      </c>
      <c r="H75" s="105">
        <v>1196033.42</v>
      </c>
      <c r="I75" s="105">
        <v>1199141.3</v>
      </c>
      <c r="J75" s="105">
        <v>1190677.68</v>
      </c>
      <c r="K75" s="105">
        <v>1191060.47</v>
      </c>
      <c r="L75" s="105">
        <v>1224563.2</v>
      </c>
      <c r="M75" s="105">
        <v>1233059.31</v>
      </c>
      <c r="N75" s="105">
        <v>1232300.3600000001</v>
      </c>
    </row>
    <row r="76" spans="1:18" s="62" customFormat="1" ht="34.5" customHeight="1" x14ac:dyDescent="0.2">
      <c r="A76" s="207" t="s">
        <v>107</v>
      </c>
      <c r="B76" s="207"/>
      <c r="C76" s="104">
        <v>1.3877530593224248E-3</v>
      </c>
      <c r="D76" s="104">
        <v>1.6421020396035003E-3</v>
      </c>
      <c r="E76" s="104">
        <v>1.3180235089267896E-3</v>
      </c>
      <c r="F76" s="104">
        <v>1.3576726732365124E-3</v>
      </c>
      <c r="G76" s="104">
        <v>1.1641588970015095E-3</v>
      </c>
      <c r="H76" s="104">
        <v>1.3112941670560048E-3</v>
      </c>
      <c r="I76" s="104">
        <v>1.3606192843505025E-3</v>
      </c>
      <c r="J76" s="104">
        <v>1.2263054953632422E-3</v>
      </c>
      <c r="K76" s="104">
        <v>1.509630446504135E-3</v>
      </c>
      <c r="L76" s="104">
        <v>1.3920885063529111E-3</v>
      </c>
      <c r="M76" s="104">
        <v>1.4474398398248449E-3</v>
      </c>
      <c r="N76" s="104">
        <v>1.2629621176795532E-3</v>
      </c>
    </row>
    <row r="77" spans="1:18" ht="15" customHeight="1" x14ac:dyDescent="0.2"/>
    <row r="78" spans="1:18" ht="93" customHeight="1" x14ac:dyDescent="0.2">
      <c r="A78" s="200" t="s">
        <v>108</v>
      </c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69"/>
    </row>
    <row r="79" spans="1:18" ht="30" customHeight="1" x14ac:dyDescent="0.2">
      <c r="A79" s="199" t="s">
        <v>109</v>
      </c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</row>
    <row r="80" spans="1:18" ht="19.5" customHeight="1" x14ac:dyDescent="0.2">
      <c r="A80" s="68" t="s">
        <v>110</v>
      </c>
    </row>
  </sheetData>
  <mergeCells count="15">
    <mergeCell ref="A79:N79"/>
    <mergeCell ref="A78:N78"/>
    <mergeCell ref="A74:B74"/>
    <mergeCell ref="A75:B75"/>
    <mergeCell ref="A76:B76"/>
    <mergeCell ref="D43:N43"/>
    <mergeCell ref="D59:N59"/>
    <mergeCell ref="A73:B73"/>
    <mergeCell ref="A5:N5"/>
    <mergeCell ref="A2:N2"/>
    <mergeCell ref="A3:N3"/>
    <mergeCell ref="A4:N4"/>
    <mergeCell ref="D27:N27"/>
    <mergeCell ref="D11:N11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1</xdr:col>
                <xdr:colOff>0</xdr:colOff>
                <xdr:row>76</xdr:row>
                <xdr:rowOff>0</xdr:rowOff>
              </from>
              <to>
                <xdr:col>1</xdr:col>
                <xdr:colOff>142875</xdr:colOff>
                <xdr:row>76</xdr:row>
                <xdr:rowOff>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6">
    <tabColor rgb="FF00FF99"/>
  </sheetPr>
  <dimension ref="A1:O9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30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5" s="58" customFormat="1" ht="34.5" customHeight="1" x14ac:dyDescent="0.25">
      <c r="A7" s="206" t="s">
        <v>60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43"/>
      <c r="C8" s="43"/>
      <c r="D8" s="43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78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70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3.5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4.25" customHeight="1" x14ac:dyDescent="0.2">
      <c r="A13" s="83"/>
      <c r="B13" s="86" t="s">
        <v>61</v>
      </c>
      <c r="C13" s="155">
        <f>SUM(C14:C17)</f>
        <v>3704.3829999999998</v>
      </c>
      <c r="D13" s="155">
        <f t="shared" ref="D13:N13" si="0">SUM(D14:D17)</f>
        <v>3901.4629999999997</v>
      </c>
      <c r="E13" s="156">
        <f t="shared" si="0"/>
        <v>3910.1329999999998</v>
      </c>
      <c r="F13" s="156">
        <f t="shared" si="0"/>
        <v>3874.4629999999997</v>
      </c>
      <c r="G13" s="156">
        <f t="shared" si="0"/>
        <v>3852.2330000000002</v>
      </c>
      <c r="H13" s="156">
        <f t="shared" si="0"/>
        <v>3863.2629999999999</v>
      </c>
      <c r="I13" s="156">
        <f t="shared" si="0"/>
        <v>4118.933</v>
      </c>
      <c r="J13" s="156">
        <f t="shared" si="0"/>
        <v>4145.4930000000004</v>
      </c>
      <c r="K13" s="156">
        <f t="shared" si="0"/>
        <v>4094.2430000000004</v>
      </c>
      <c r="L13" s="156">
        <f t="shared" si="0"/>
        <v>4485.9235300365253</v>
      </c>
      <c r="M13" s="156">
        <f t="shared" si="0"/>
        <v>4538.8035300365254</v>
      </c>
      <c r="N13" s="162">
        <f t="shared" si="0"/>
        <v>4489.9435300365249</v>
      </c>
      <c r="O13" s="61"/>
    </row>
    <row r="14" spans="1:15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8</v>
      </c>
      <c r="C15" s="146">
        <v>1283.6600000000001</v>
      </c>
      <c r="D15" s="146">
        <v>1283.6600000000001</v>
      </c>
      <c r="E15" s="99">
        <v>1283.6600000000001</v>
      </c>
      <c r="F15" s="99">
        <v>1283.6600000000001</v>
      </c>
      <c r="G15" s="147">
        <v>1283.6600000000001</v>
      </c>
      <c r="H15" s="146">
        <v>1283.6600000000001</v>
      </c>
      <c r="I15" s="146">
        <v>1283.6600000000001</v>
      </c>
      <c r="J15" s="146">
        <v>1283.6600000000001</v>
      </c>
      <c r="K15" s="146">
        <v>1283.6600000000001</v>
      </c>
      <c r="L15" s="146">
        <v>1478.78</v>
      </c>
      <c r="M15" s="146">
        <v>1478.78</v>
      </c>
      <c r="N15" s="148">
        <v>1478.78</v>
      </c>
      <c r="O15" s="61"/>
    </row>
    <row r="16" spans="1:15" s="13" customFormat="1" ht="15" customHeight="1" x14ac:dyDescent="0.2">
      <c r="A16" s="29"/>
      <c r="B16" s="89" t="s">
        <v>9</v>
      </c>
      <c r="C16" s="114">
        <v>224.61</v>
      </c>
      <c r="D16" s="114">
        <v>224.61</v>
      </c>
      <c r="E16" s="115">
        <v>224.61</v>
      </c>
      <c r="F16" s="115">
        <v>224.61</v>
      </c>
      <c r="G16" s="116">
        <v>224.61</v>
      </c>
      <c r="H16" s="114">
        <v>224.61</v>
      </c>
      <c r="I16" s="114">
        <v>224.61</v>
      </c>
      <c r="J16" s="114">
        <v>224.61</v>
      </c>
      <c r="K16" s="114">
        <v>224.61</v>
      </c>
      <c r="L16" s="114">
        <v>375.09</v>
      </c>
      <c r="M16" s="114">
        <v>375.09</v>
      </c>
      <c r="N16" s="117">
        <v>375.09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81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83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84">
        <f t="shared" si="1"/>
        <v>1233361.28</v>
      </c>
      <c r="O18" s="61"/>
    </row>
    <row r="19" spans="1:15" s="13" customFormat="1" ht="27.75" customHeight="1" x14ac:dyDescent="0.2">
      <c r="A19" s="81"/>
      <c r="B19" s="91" t="s">
        <v>116</v>
      </c>
      <c r="C19" s="179">
        <v>850.58</v>
      </c>
      <c r="D19" s="179">
        <v>1150.1400000000001</v>
      </c>
      <c r="E19" s="180">
        <v>1178.98</v>
      </c>
      <c r="F19" s="180">
        <v>1377.28</v>
      </c>
      <c r="G19" s="181">
        <v>1386.94</v>
      </c>
      <c r="H19" s="179">
        <v>1354.18</v>
      </c>
      <c r="I19" s="179">
        <v>1251.6600000000001</v>
      </c>
      <c r="J19" s="179">
        <v>1551.11</v>
      </c>
      <c r="K19" s="179">
        <v>1608.71</v>
      </c>
      <c r="L19" s="179">
        <v>1250.6400000000001</v>
      </c>
      <c r="M19" s="179">
        <v>1067.3599999999999</v>
      </c>
      <c r="N19" s="185">
        <v>1060.92</v>
      </c>
      <c r="O19" s="61"/>
    </row>
    <row r="20" spans="1:15" s="13" customFormat="1" ht="26.25" thickBot="1" x14ac:dyDescent="0.25">
      <c r="A20" s="32"/>
      <c r="B20" s="186" t="s">
        <v>117</v>
      </c>
      <c r="C20" s="187">
        <v>1062840.8600000001</v>
      </c>
      <c r="D20" s="187">
        <v>1005852.64</v>
      </c>
      <c r="E20" s="100">
        <v>1061271.9099999999</v>
      </c>
      <c r="F20" s="100">
        <v>1054812.9099999999</v>
      </c>
      <c r="G20" s="187">
        <v>1225755.28</v>
      </c>
      <c r="H20" s="187">
        <v>1196033.42</v>
      </c>
      <c r="I20" s="187">
        <v>1199141.3</v>
      </c>
      <c r="J20" s="187">
        <v>1190677.68</v>
      </c>
      <c r="K20" s="187">
        <v>1191060.47</v>
      </c>
      <c r="L20" s="187">
        <v>1224563.2</v>
      </c>
      <c r="M20" s="187">
        <v>1233059.31</v>
      </c>
      <c r="N20" s="188">
        <v>1232300.3600000001</v>
      </c>
      <c r="O20" s="61"/>
    </row>
    <row r="21" spans="1:15" s="13" customFormat="1" ht="27.75" customHeight="1" thickBot="1" x14ac:dyDescent="0.25">
      <c r="A21" s="36" t="s">
        <v>10</v>
      </c>
      <c r="B21" s="37" t="s">
        <v>11</v>
      </c>
      <c r="C21" s="20"/>
      <c r="D21" s="20"/>
      <c r="E21" s="21"/>
      <c r="F21" s="21"/>
      <c r="G21" s="66"/>
      <c r="H21" s="20"/>
      <c r="I21" s="20"/>
      <c r="J21" s="20"/>
      <c r="K21" s="20"/>
      <c r="L21" s="20"/>
      <c r="M21" s="20"/>
      <c r="N21" s="55"/>
      <c r="O21" s="61"/>
    </row>
    <row r="22" spans="1:15" s="13" customFormat="1" ht="14.25" customHeight="1" x14ac:dyDescent="0.2">
      <c r="A22" s="85"/>
      <c r="B22" s="88" t="s">
        <v>61</v>
      </c>
      <c r="C22" s="159">
        <f>SUM(C23:C25)</f>
        <v>2420.723</v>
      </c>
      <c r="D22" s="159">
        <f t="shared" ref="D22:N22" si="2">SUM(D23:D25)</f>
        <v>2617.8029999999999</v>
      </c>
      <c r="E22" s="160">
        <f t="shared" si="2"/>
        <v>2626.473</v>
      </c>
      <c r="F22" s="160">
        <f t="shared" si="2"/>
        <v>2590.8029999999999</v>
      </c>
      <c r="G22" s="160">
        <f t="shared" si="2"/>
        <v>2568.5729999999999</v>
      </c>
      <c r="H22" s="160">
        <f t="shared" si="2"/>
        <v>2579.6030000000001</v>
      </c>
      <c r="I22" s="160">
        <f t="shared" si="2"/>
        <v>2835.2730000000001</v>
      </c>
      <c r="J22" s="160">
        <f t="shared" si="2"/>
        <v>2861.8330000000001</v>
      </c>
      <c r="K22" s="160">
        <f t="shared" si="2"/>
        <v>2810.5830000000001</v>
      </c>
      <c r="L22" s="160">
        <f t="shared" si="2"/>
        <v>3007.1435300365251</v>
      </c>
      <c r="M22" s="160">
        <f t="shared" si="2"/>
        <v>3060.0235300365252</v>
      </c>
      <c r="N22" s="161">
        <f t="shared" si="2"/>
        <v>3011.1635300365251</v>
      </c>
      <c r="O22" s="61"/>
    </row>
    <row r="23" spans="1:15" s="13" customFormat="1" ht="15" customHeight="1" x14ac:dyDescent="0.2">
      <c r="A23" s="25"/>
      <c r="B23" s="89" t="s">
        <v>113</v>
      </c>
      <c r="C23" s="101">
        <f t="shared" ref="C23:N23" si="3">C14</f>
        <v>2190.75</v>
      </c>
      <c r="D23" s="101">
        <f t="shared" si="3"/>
        <v>2387.83</v>
      </c>
      <c r="E23" s="102">
        <f t="shared" si="3"/>
        <v>2396.5</v>
      </c>
      <c r="F23" s="102">
        <f t="shared" si="3"/>
        <v>2360.83</v>
      </c>
      <c r="G23" s="157">
        <f t="shared" si="3"/>
        <v>2338.6</v>
      </c>
      <c r="H23" s="101">
        <f t="shared" si="3"/>
        <v>2349.63</v>
      </c>
      <c r="I23" s="101">
        <f t="shared" si="3"/>
        <v>2605.3000000000002</v>
      </c>
      <c r="J23" s="101">
        <f t="shared" si="3"/>
        <v>2631.86</v>
      </c>
      <c r="K23" s="101">
        <f t="shared" si="3"/>
        <v>2580.61</v>
      </c>
      <c r="L23" s="101">
        <f t="shared" si="3"/>
        <v>2625.93</v>
      </c>
      <c r="M23" s="101">
        <f t="shared" si="3"/>
        <v>2678.81</v>
      </c>
      <c r="N23" s="158">
        <f t="shared" si="3"/>
        <v>2629.95</v>
      </c>
    </row>
    <row r="24" spans="1:15" s="13" customFormat="1" ht="15" customHeight="1" x14ac:dyDescent="0.2">
      <c r="A24" s="40"/>
      <c r="B24" s="90" t="s">
        <v>9</v>
      </c>
      <c r="C24" s="114">
        <f t="shared" ref="C24:N24" si="4">C16</f>
        <v>224.61</v>
      </c>
      <c r="D24" s="114">
        <f t="shared" si="4"/>
        <v>224.61</v>
      </c>
      <c r="E24" s="115">
        <f t="shared" si="4"/>
        <v>224.61</v>
      </c>
      <c r="F24" s="115">
        <f t="shared" si="4"/>
        <v>224.61</v>
      </c>
      <c r="G24" s="121">
        <f t="shared" si="4"/>
        <v>224.61</v>
      </c>
      <c r="H24" s="115">
        <f t="shared" si="4"/>
        <v>224.61</v>
      </c>
      <c r="I24" s="115">
        <f t="shared" si="4"/>
        <v>224.61</v>
      </c>
      <c r="J24" s="115">
        <f t="shared" si="4"/>
        <v>224.61</v>
      </c>
      <c r="K24" s="115">
        <f t="shared" si="4"/>
        <v>224.61</v>
      </c>
      <c r="L24" s="115">
        <f t="shared" si="4"/>
        <v>375.09</v>
      </c>
      <c r="M24" s="115">
        <f t="shared" si="4"/>
        <v>375.09</v>
      </c>
      <c r="N24" s="122">
        <f t="shared" si="4"/>
        <v>375.09</v>
      </c>
    </row>
    <row r="25" spans="1:15" s="13" customFormat="1" ht="15" customHeight="1" x14ac:dyDescent="0.2">
      <c r="A25" s="81"/>
      <c r="B25" s="91" t="s">
        <v>42</v>
      </c>
      <c r="C25" s="106">
        <f t="shared" ref="C25:N25" si="5">C17</f>
        <v>5.3629999999999995</v>
      </c>
      <c r="D25" s="106">
        <f t="shared" si="5"/>
        <v>5.3629999999999995</v>
      </c>
      <c r="E25" s="107">
        <f t="shared" si="5"/>
        <v>5.3629999999999995</v>
      </c>
      <c r="F25" s="107">
        <f t="shared" si="5"/>
        <v>5.3629999999999995</v>
      </c>
      <c r="G25" s="108">
        <f t="shared" si="5"/>
        <v>5.3629999999999995</v>
      </c>
      <c r="H25" s="106">
        <f t="shared" si="5"/>
        <v>5.3629999999999995</v>
      </c>
      <c r="I25" s="106">
        <f t="shared" si="5"/>
        <v>5.3629999999999995</v>
      </c>
      <c r="J25" s="106">
        <f t="shared" si="5"/>
        <v>5.3629999999999995</v>
      </c>
      <c r="K25" s="106">
        <f t="shared" si="5"/>
        <v>5.3629999999999995</v>
      </c>
      <c r="L25" s="106">
        <f t="shared" si="5"/>
        <v>6.1235300365250511</v>
      </c>
      <c r="M25" s="106">
        <f t="shared" si="5"/>
        <v>6.1235300365250511</v>
      </c>
      <c r="N25" s="109">
        <f t="shared" si="5"/>
        <v>6.1235300365250511</v>
      </c>
    </row>
    <row r="26" spans="1:15" s="13" customFormat="1" ht="25.5" x14ac:dyDescent="0.2">
      <c r="A26" s="81"/>
      <c r="B26" s="87" t="s">
        <v>118</v>
      </c>
      <c r="C26" s="119">
        <f>SUM(C27:C28)</f>
        <v>1063691.4400000002</v>
      </c>
      <c r="D26" s="119">
        <f t="shared" ref="D26" si="6">SUM(D27:D28)</f>
        <v>1007002.78</v>
      </c>
      <c r="E26" s="120">
        <f t="shared" ref="E26" si="7">SUM(E27:E28)</f>
        <v>1062450.8899999999</v>
      </c>
      <c r="F26" s="120">
        <f t="shared" ref="F26" si="8">SUM(F27:F28)</f>
        <v>1056190.19</v>
      </c>
      <c r="G26" s="183">
        <f t="shared" ref="G26" si="9">SUM(G27:G28)</f>
        <v>1227142.22</v>
      </c>
      <c r="H26" s="119">
        <f t="shared" ref="H26" si="10">SUM(H27:H28)</f>
        <v>1197387.5999999999</v>
      </c>
      <c r="I26" s="119">
        <f t="shared" ref="I26" si="11">SUM(I27:I28)</f>
        <v>1200392.96</v>
      </c>
      <c r="J26" s="119">
        <f t="shared" ref="J26" si="12">SUM(J27:J28)</f>
        <v>1192228.79</v>
      </c>
      <c r="K26" s="119">
        <f t="shared" ref="K26" si="13">SUM(K27:K28)</f>
        <v>1192669.18</v>
      </c>
      <c r="L26" s="119">
        <f t="shared" ref="L26" si="14">SUM(L27:L28)</f>
        <v>1225813.8399999999</v>
      </c>
      <c r="M26" s="119">
        <f t="shared" ref="M26" si="15">SUM(M27:M28)</f>
        <v>1234126.6700000002</v>
      </c>
      <c r="N26" s="184">
        <f t="shared" ref="N26" si="16">SUM(N27:N28)</f>
        <v>1233361.28</v>
      </c>
    </row>
    <row r="27" spans="1:15" s="13" customFormat="1" ht="25.5" x14ac:dyDescent="0.2">
      <c r="A27" s="81"/>
      <c r="B27" s="91" t="s">
        <v>116</v>
      </c>
      <c r="C27" s="179">
        <v>850.58</v>
      </c>
      <c r="D27" s="179">
        <v>1150.1400000000001</v>
      </c>
      <c r="E27" s="180">
        <v>1178.98</v>
      </c>
      <c r="F27" s="180">
        <v>1377.28</v>
      </c>
      <c r="G27" s="181">
        <v>1386.94</v>
      </c>
      <c r="H27" s="179">
        <v>1354.18</v>
      </c>
      <c r="I27" s="179">
        <v>1251.6600000000001</v>
      </c>
      <c r="J27" s="179">
        <v>1551.11</v>
      </c>
      <c r="K27" s="179">
        <v>1608.71</v>
      </c>
      <c r="L27" s="179">
        <v>1250.6400000000001</v>
      </c>
      <c r="M27" s="179">
        <v>1067.3599999999999</v>
      </c>
      <c r="N27" s="185">
        <v>1060.92</v>
      </c>
    </row>
    <row r="28" spans="1:15" s="13" customFormat="1" ht="26.25" thickBot="1" x14ac:dyDescent="0.25">
      <c r="A28" s="32"/>
      <c r="B28" s="186" t="s">
        <v>117</v>
      </c>
      <c r="C28" s="187">
        <f t="shared" ref="C28:N28" si="17">C20</f>
        <v>1062840.8600000001</v>
      </c>
      <c r="D28" s="187">
        <f t="shared" si="17"/>
        <v>1005852.64</v>
      </c>
      <c r="E28" s="100">
        <f t="shared" si="17"/>
        <v>1061271.9099999999</v>
      </c>
      <c r="F28" s="100">
        <f t="shared" si="17"/>
        <v>1054812.9099999999</v>
      </c>
      <c r="G28" s="187">
        <f t="shared" si="17"/>
        <v>1225755.28</v>
      </c>
      <c r="H28" s="187">
        <f t="shared" si="17"/>
        <v>1196033.42</v>
      </c>
      <c r="I28" s="187">
        <f t="shared" si="17"/>
        <v>1199141.3</v>
      </c>
      <c r="J28" s="187">
        <f t="shared" si="17"/>
        <v>1190677.68</v>
      </c>
      <c r="K28" s="187">
        <f t="shared" si="17"/>
        <v>1191060.47</v>
      </c>
      <c r="L28" s="187">
        <f t="shared" si="17"/>
        <v>1224563.2</v>
      </c>
      <c r="M28" s="187">
        <f t="shared" si="17"/>
        <v>1233059.31</v>
      </c>
      <c r="N28" s="188">
        <f t="shared" si="17"/>
        <v>1232300.3600000001</v>
      </c>
    </row>
    <row r="29" spans="1:15" ht="15" customHeight="1" x14ac:dyDescent="0.2"/>
    <row r="30" spans="1:15" ht="15" customHeight="1" x14ac:dyDescent="0.2"/>
    <row r="31" spans="1:15" s="59" customFormat="1" ht="21" customHeight="1" thickBot="1" x14ac:dyDescent="0.25">
      <c r="A31" s="7" t="s">
        <v>79</v>
      </c>
      <c r="B31" s="7"/>
      <c r="C31" s="7"/>
      <c r="D31" s="7"/>
      <c r="E31" s="7"/>
      <c r="F31" s="7"/>
      <c r="G31" s="5"/>
      <c r="H31" s="5"/>
      <c r="I31" s="5"/>
      <c r="J31" s="5"/>
      <c r="K31" s="5"/>
      <c r="L31" s="6"/>
      <c r="M31" s="6"/>
      <c r="N31" s="6"/>
    </row>
    <row r="32" spans="1:15" s="13" customFormat="1" ht="24" customHeight="1" thickBot="1" x14ac:dyDescent="0.25">
      <c r="A32" s="49" t="s">
        <v>0</v>
      </c>
      <c r="B32" s="50" t="s">
        <v>1</v>
      </c>
      <c r="C32" s="51" t="s">
        <v>17</v>
      </c>
      <c r="D32" s="51" t="s">
        <v>18</v>
      </c>
      <c r="E32" s="51" t="s">
        <v>19</v>
      </c>
      <c r="F32" s="51" t="s">
        <v>20</v>
      </c>
      <c r="G32" s="51" t="s">
        <v>21</v>
      </c>
      <c r="H32" s="51" t="s">
        <v>22</v>
      </c>
      <c r="I32" s="51" t="s">
        <v>23</v>
      </c>
      <c r="J32" s="51" t="s">
        <v>24</v>
      </c>
      <c r="K32" s="51" t="s">
        <v>25</v>
      </c>
      <c r="L32" s="51" t="s">
        <v>26</v>
      </c>
      <c r="M32" s="51" t="s">
        <v>27</v>
      </c>
      <c r="N32" s="52" t="s">
        <v>28</v>
      </c>
    </row>
    <row r="33" spans="1:15" s="17" customFormat="1" ht="21" customHeight="1" thickBot="1" x14ac:dyDescent="0.25">
      <c r="A33" s="14" t="s">
        <v>14</v>
      </c>
      <c r="B33" s="15" t="s">
        <v>5</v>
      </c>
      <c r="C33" s="70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2"/>
      <c r="O33" s="44"/>
    </row>
    <row r="34" spans="1:15" s="17" customFormat="1" ht="13.5" thickBot="1" x14ac:dyDescent="0.25">
      <c r="A34" s="18" t="s">
        <v>15</v>
      </c>
      <c r="B34" s="78" t="s">
        <v>7</v>
      </c>
      <c r="C34" s="20"/>
      <c r="D34" s="20"/>
      <c r="E34" s="21"/>
      <c r="F34" s="21"/>
      <c r="G34" s="63"/>
      <c r="H34" s="21"/>
      <c r="I34" s="21"/>
      <c r="J34" s="21"/>
      <c r="K34" s="21"/>
      <c r="L34" s="21"/>
      <c r="M34" s="21"/>
      <c r="N34" s="22"/>
      <c r="O34" s="61"/>
    </row>
    <row r="35" spans="1:15" s="13" customFormat="1" ht="15" customHeight="1" x14ac:dyDescent="0.2">
      <c r="A35" s="80"/>
      <c r="B35" s="86" t="s">
        <v>61</v>
      </c>
      <c r="C35" s="155">
        <f>SUM(C36:C39)</f>
        <v>4494.3130000000001</v>
      </c>
      <c r="D35" s="155">
        <f t="shared" ref="D35" si="18">SUM(D36:D39)</f>
        <v>4691.393</v>
      </c>
      <c r="E35" s="156">
        <f t="shared" ref="E35" si="19">SUM(E36:E39)</f>
        <v>4700.0630000000001</v>
      </c>
      <c r="F35" s="156">
        <f t="shared" ref="F35" si="20">SUM(F36:F39)</f>
        <v>4664.393</v>
      </c>
      <c r="G35" s="156">
        <f t="shared" ref="G35" si="21">SUM(G36:G39)</f>
        <v>4642.1630000000005</v>
      </c>
      <c r="H35" s="156">
        <f t="shared" ref="H35" si="22">SUM(H36:H39)</f>
        <v>4653.1930000000002</v>
      </c>
      <c r="I35" s="156">
        <f t="shared" ref="I35" si="23">SUM(I36:I39)</f>
        <v>4908.8630000000003</v>
      </c>
      <c r="J35" s="156">
        <f t="shared" ref="J35" si="24">SUM(J36:J39)</f>
        <v>4935.4230000000007</v>
      </c>
      <c r="K35" s="156">
        <f t="shared" ref="K35" si="25">SUM(K36:K39)</f>
        <v>4884.1730000000007</v>
      </c>
      <c r="L35" s="156">
        <f t="shared" ref="L35" si="26">SUM(L36:L39)</f>
        <v>5395.9235300365253</v>
      </c>
      <c r="M35" s="156">
        <f t="shared" ref="M35" si="27">SUM(M36:M39)</f>
        <v>5448.8035300365254</v>
      </c>
      <c r="N35" s="156">
        <f t="shared" ref="N35" si="28">SUM(N36:N39)</f>
        <v>5399.9435300365249</v>
      </c>
      <c r="O35" s="61"/>
    </row>
    <row r="36" spans="1:15" s="13" customFormat="1" ht="15" customHeight="1" x14ac:dyDescent="0.2">
      <c r="A36" s="29"/>
      <c r="B36" s="89" t="s">
        <v>113</v>
      </c>
      <c r="C36" s="101">
        <v>2190.75</v>
      </c>
      <c r="D36" s="101">
        <v>2387.83</v>
      </c>
      <c r="E36" s="102">
        <v>2396.5</v>
      </c>
      <c r="F36" s="102">
        <v>2360.83</v>
      </c>
      <c r="G36" s="157">
        <v>2338.6</v>
      </c>
      <c r="H36" s="101">
        <v>2349.63</v>
      </c>
      <c r="I36" s="101">
        <v>2605.3000000000002</v>
      </c>
      <c r="J36" s="101">
        <v>2631.86</v>
      </c>
      <c r="K36" s="101">
        <v>2580.61</v>
      </c>
      <c r="L36" s="101">
        <v>2625.93</v>
      </c>
      <c r="M36" s="101">
        <v>2678.81</v>
      </c>
      <c r="N36" s="158">
        <v>2629.95</v>
      </c>
      <c r="O36" s="61"/>
    </row>
    <row r="37" spans="1:15" s="13" customFormat="1" ht="15" customHeight="1" x14ac:dyDescent="0.2">
      <c r="A37" s="25"/>
      <c r="B37" s="90" t="s">
        <v>8</v>
      </c>
      <c r="C37" s="146">
        <v>2073.59</v>
      </c>
      <c r="D37" s="146">
        <v>2073.59</v>
      </c>
      <c r="E37" s="99">
        <v>2073.59</v>
      </c>
      <c r="F37" s="99">
        <v>2073.59</v>
      </c>
      <c r="G37" s="147">
        <v>2073.59</v>
      </c>
      <c r="H37" s="146">
        <v>2073.59</v>
      </c>
      <c r="I37" s="146">
        <v>2073.59</v>
      </c>
      <c r="J37" s="146">
        <v>2073.59</v>
      </c>
      <c r="K37" s="146">
        <v>2073.59</v>
      </c>
      <c r="L37" s="146">
        <v>2388.7800000000002</v>
      </c>
      <c r="M37" s="146">
        <v>2388.7800000000002</v>
      </c>
      <c r="N37" s="148">
        <v>2388.7800000000002</v>
      </c>
      <c r="O37" s="61"/>
    </row>
    <row r="38" spans="1:15" s="13" customFormat="1" ht="15" customHeight="1" x14ac:dyDescent="0.2">
      <c r="A38" s="29"/>
      <c r="B38" s="89" t="s">
        <v>9</v>
      </c>
      <c r="C38" s="114">
        <v>224.61</v>
      </c>
      <c r="D38" s="114">
        <v>224.61</v>
      </c>
      <c r="E38" s="115">
        <v>224.61</v>
      </c>
      <c r="F38" s="115">
        <v>224.61</v>
      </c>
      <c r="G38" s="116">
        <v>224.61</v>
      </c>
      <c r="H38" s="114">
        <v>224.61</v>
      </c>
      <c r="I38" s="114">
        <v>224.61</v>
      </c>
      <c r="J38" s="114">
        <v>224.61</v>
      </c>
      <c r="K38" s="114">
        <v>224.61</v>
      </c>
      <c r="L38" s="114">
        <v>375.09</v>
      </c>
      <c r="M38" s="114">
        <v>375.09</v>
      </c>
      <c r="N38" s="117">
        <v>375.09</v>
      </c>
      <c r="O38" s="61"/>
    </row>
    <row r="39" spans="1:15" s="13" customFormat="1" x14ac:dyDescent="0.2">
      <c r="A39" s="81"/>
      <c r="B39" s="91" t="s">
        <v>42</v>
      </c>
      <c r="C39" s="106">
        <v>5.3629999999999995</v>
      </c>
      <c r="D39" s="106">
        <v>5.3629999999999995</v>
      </c>
      <c r="E39" s="107">
        <v>5.3629999999999995</v>
      </c>
      <c r="F39" s="107">
        <v>5.3629999999999995</v>
      </c>
      <c r="G39" s="108">
        <v>5.3629999999999995</v>
      </c>
      <c r="H39" s="106">
        <v>5.3629999999999995</v>
      </c>
      <c r="I39" s="106">
        <v>5.3629999999999995</v>
      </c>
      <c r="J39" s="106">
        <v>5.3629999999999995</v>
      </c>
      <c r="K39" s="106">
        <v>5.3629999999999995</v>
      </c>
      <c r="L39" s="106">
        <v>6.1235300365250511</v>
      </c>
      <c r="M39" s="106">
        <v>6.1235300365250511</v>
      </c>
      <c r="N39" s="109">
        <v>6.1235300365250511</v>
      </c>
      <c r="O39" s="61"/>
    </row>
    <row r="40" spans="1:15" s="13" customFormat="1" ht="25.5" x14ac:dyDescent="0.2">
      <c r="A40" s="178"/>
      <c r="B40" s="87" t="s">
        <v>118</v>
      </c>
      <c r="C40" s="119">
        <f>SUM(C41:C42)</f>
        <v>1063691.4400000002</v>
      </c>
      <c r="D40" s="119">
        <f t="shared" ref="D40" si="29">SUM(D41:D42)</f>
        <v>1007002.78</v>
      </c>
      <c r="E40" s="120">
        <f t="shared" ref="E40" si="30">SUM(E41:E42)</f>
        <v>1062450.8899999999</v>
      </c>
      <c r="F40" s="120">
        <f t="shared" ref="F40" si="31">SUM(F41:F42)</f>
        <v>1056190.19</v>
      </c>
      <c r="G40" s="183">
        <f t="shared" ref="G40" si="32">SUM(G41:G42)</f>
        <v>1227142.22</v>
      </c>
      <c r="H40" s="119">
        <f t="shared" ref="H40" si="33">SUM(H41:H42)</f>
        <v>1197387.5999999999</v>
      </c>
      <c r="I40" s="119">
        <f t="shared" ref="I40" si="34">SUM(I41:I42)</f>
        <v>1200392.96</v>
      </c>
      <c r="J40" s="119">
        <f t="shared" ref="J40" si="35">SUM(J41:J42)</f>
        <v>1192228.79</v>
      </c>
      <c r="K40" s="119">
        <f t="shared" ref="K40" si="36">SUM(K41:K42)</f>
        <v>1192669.18</v>
      </c>
      <c r="L40" s="119">
        <f t="shared" ref="L40" si="37">SUM(L41:L42)</f>
        <v>1225813.8399999999</v>
      </c>
      <c r="M40" s="119">
        <f t="shared" ref="M40" si="38">SUM(M41:M42)</f>
        <v>1234126.6700000002</v>
      </c>
      <c r="N40" s="184">
        <f t="shared" ref="N40" si="39">SUM(N41:N42)</f>
        <v>1233361.28</v>
      </c>
      <c r="O40" s="61"/>
    </row>
    <row r="41" spans="1:15" s="13" customFormat="1" ht="25.5" x14ac:dyDescent="0.2">
      <c r="A41" s="178"/>
      <c r="B41" s="91" t="s">
        <v>116</v>
      </c>
      <c r="C41" s="179">
        <v>850.58</v>
      </c>
      <c r="D41" s="179">
        <v>1150.1400000000001</v>
      </c>
      <c r="E41" s="180">
        <v>1178.98</v>
      </c>
      <c r="F41" s="180">
        <v>1377.28</v>
      </c>
      <c r="G41" s="181">
        <v>1386.94</v>
      </c>
      <c r="H41" s="179">
        <v>1354.18</v>
      </c>
      <c r="I41" s="179">
        <v>1251.6600000000001</v>
      </c>
      <c r="J41" s="179">
        <v>1551.11</v>
      </c>
      <c r="K41" s="179">
        <v>1608.71</v>
      </c>
      <c r="L41" s="179">
        <v>1250.6400000000001</v>
      </c>
      <c r="M41" s="179">
        <v>1067.3599999999999</v>
      </c>
      <c r="N41" s="182">
        <v>1060.92</v>
      </c>
      <c r="O41" s="61"/>
    </row>
    <row r="42" spans="1:15" s="13" customFormat="1" ht="26.25" thickBot="1" x14ac:dyDescent="0.25">
      <c r="A42" s="82"/>
      <c r="B42" s="186" t="s">
        <v>117</v>
      </c>
      <c r="C42" s="146">
        <v>1062840.8600000001</v>
      </c>
      <c r="D42" s="179">
        <v>1005852.64</v>
      </c>
      <c r="E42" s="180">
        <v>1061271.9099999999</v>
      </c>
      <c r="F42" s="180">
        <v>1054812.9099999999</v>
      </c>
      <c r="G42" s="146">
        <v>1225755.28</v>
      </c>
      <c r="H42" s="146">
        <v>1196033.42</v>
      </c>
      <c r="I42" s="179">
        <v>1199141.3</v>
      </c>
      <c r="J42" s="146">
        <v>1190677.68</v>
      </c>
      <c r="K42" s="179">
        <v>1191060.47</v>
      </c>
      <c r="L42" s="146">
        <v>1224563.2</v>
      </c>
      <c r="M42" s="179">
        <v>1233059.31</v>
      </c>
      <c r="N42" s="146">
        <v>1232300.3600000001</v>
      </c>
    </row>
    <row r="43" spans="1:15" s="13" customFormat="1" ht="26.25" thickBot="1" x14ac:dyDescent="0.25">
      <c r="A43" s="36" t="s">
        <v>16</v>
      </c>
      <c r="B43" s="37" t="s">
        <v>11</v>
      </c>
      <c r="C43" s="20"/>
      <c r="D43" s="20"/>
      <c r="E43" s="21"/>
      <c r="F43" s="21"/>
      <c r="G43" s="66"/>
      <c r="H43" s="20"/>
      <c r="I43" s="20"/>
      <c r="J43" s="20"/>
      <c r="K43" s="20"/>
      <c r="L43" s="20"/>
      <c r="M43" s="20"/>
      <c r="N43" s="55"/>
    </row>
    <row r="44" spans="1:15" s="13" customFormat="1" ht="15" customHeight="1" x14ac:dyDescent="0.2">
      <c r="A44" s="85"/>
      <c r="B44" s="88" t="s">
        <v>61</v>
      </c>
      <c r="C44" s="159">
        <f>SUM(C45:C47)</f>
        <v>2420.723</v>
      </c>
      <c r="D44" s="159">
        <f t="shared" ref="D44" si="40">SUM(D45:D47)</f>
        <v>2617.8029999999999</v>
      </c>
      <c r="E44" s="160">
        <f t="shared" ref="E44" si="41">SUM(E45:E47)</f>
        <v>2626.473</v>
      </c>
      <c r="F44" s="160">
        <f t="shared" ref="F44" si="42">SUM(F45:F47)</f>
        <v>2590.8029999999999</v>
      </c>
      <c r="G44" s="160">
        <f t="shared" ref="G44" si="43">SUM(G45:G47)</f>
        <v>2568.5729999999999</v>
      </c>
      <c r="H44" s="160">
        <f t="shared" ref="H44" si="44">SUM(H45:H47)</f>
        <v>2579.6030000000001</v>
      </c>
      <c r="I44" s="160">
        <f t="shared" ref="I44" si="45">SUM(I45:I47)</f>
        <v>2835.2730000000001</v>
      </c>
      <c r="J44" s="160">
        <f t="shared" ref="J44" si="46">SUM(J45:J47)</f>
        <v>2861.8330000000001</v>
      </c>
      <c r="K44" s="160">
        <f t="shared" ref="K44" si="47">SUM(K45:K47)</f>
        <v>2810.5830000000001</v>
      </c>
      <c r="L44" s="160">
        <f t="shared" ref="L44" si="48">SUM(L45:L47)</f>
        <v>3007.1435300365251</v>
      </c>
      <c r="M44" s="160">
        <f t="shared" ref="M44" si="49">SUM(M45:M47)</f>
        <v>3060.0235300365252</v>
      </c>
      <c r="N44" s="161">
        <f t="shared" ref="N44" si="50">SUM(N45:N47)</f>
        <v>3011.1635300365251</v>
      </c>
    </row>
    <row r="45" spans="1:15" s="13" customFormat="1" ht="15" customHeight="1" x14ac:dyDescent="0.2">
      <c r="A45" s="25"/>
      <c r="B45" s="89" t="s">
        <v>113</v>
      </c>
      <c r="C45" s="101">
        <f t="shared" ref="C45:N45" si="51">C36</f>
        <v>2190.75</v>
      </c>
      <c r="D45" s="101">
        <f t="shared" si="51"/>
        <v>2387.83</v>
      </c>
      <c r="E45" s="102">
        <f t="shared" si="51"/>
        <v>2396.5</v>
      </c>
      <c r="F45" s="102">
        <f t="shared" si="51"/>
        <v>2360.83</v>
      </c>
      <c r="G45" s="157">
        <f t="shared" si="51"/>
        <v>2338.6</v>
      </c>
      <c r="H45" s="101">
        <f t="shared" si="51"/>
        <v>2349.63</v>
      </c>
      <c r="I45" s="101">
        <f t="shared" si="51"/>
        <v>2605.3000000000002</v>
      </c>
      <c r="J45" s="101">
        <f t="shared" si="51"/>
        <v>2631.86</v>
      </c>
      <c r="K45" s="101">
        <f t="shared" si="51"/>
        <v>2580.61</v>
      </c>
      <c r="L45" s="101">
        <f t="shared" si="51"/>
        <v>2625.93</v>
      </c>
      <c r="M45" s="101">
        <f t="shared" si="51"/>
        <v>2678.81</v>
      </c>
      <c r="N45" s="158">
        <f t="shared" si="51"/>
        <v>2629.95</v>
      </c>
    </row>
    <row r="46" spans="1:15" s="13" customFormat="1" ht="15" customHeight="1" x14ac:dyDescent="0.2">
      <c r="A46" s="40"/>
      <c r="B46" s="90" t="s">
        <v>9</v>
      </c>
      <c r="C46" s="114">
        <f t="shared" ref="C46:N46" si="52">C38</f>
        <v>224.61</v>
      </c>
      <c r="D46" s="114">
        <f t="shared" si="52"/>
        <v>224.61</v>
      </c>
      <c r="E46" s="115">
        <f t="shared" si="52"/>
        <v>224.61</v>
      </c>
      <c r="F46" s="115">
        <f t="shared" si="52"/>
        <v>224.61</v>
      </c>
      <c r="G46" s="121">
        <f t="shared" si="52"/>
        <v>224.61</v>
      </c>
      <c r="H46" s="115">
        <f t="shared" si="52"/>
        <v>224.61</v>
      </c>
      <c r="I46" s="115">
        <f t="shared" si="52"/>
        <v>224.61</v>
      </c>
      <c r="J46" s="115">
        <f t="shared" si="52"/>
        <v>224.61</v>
      </c>
      <c r="K46" s="115">
        <f t="shared" si="52"/>
        <v>224.61</v>
      </c>
      <c r="L46" s="115">
        <f t="shared" si="52"/>
        <v>375.09</v>
      </c>
      <c r="M46" s="115">
        <f t="shared" si="52"/>
        <v>375.09</v>
      </c>
      <c r="N46" s="122">
        <f t="shared" si="52"/>
        <v>375.09</v>
      </c>
    </row>
    <row r="47" spans="1:15" s="13" customFormat="1" ht="15" customHeight="1" x14ac:dyDescent="0.2">
      <c r="A47" s="81"/>
      <c r="B47" s="91" t="s">
        <v>42</v>
      </c>
      <c r="C47" s="106">
        <f t="shared" ref="C47:N47" si="53">C39</f>
        <v>5.3629999999999995</v>
      </c>
      <c r="D47" s="106">
        <f t="shared" si="53"/>
        <v>5.3629999999999995</v>
      </c>
      <c r="E47" s="107">
        <f t="shared" si="53"/>
        <v>5.3629999999999995</v>
      </c>
      <c r="F47" s="107">
        <f t="shared" si="53"/>
        <v>5.3629999999999995</v>
      </c>
      <c r="G47" s="108">
        <f t="shared" si="53"/>
        <v>5.3629999999999995</v>
      </c>
      <c r="H47" s="106">
        <f t="shared" si="53"/>
        <v>5.3629999999999995</v>
      </c>
      <c r="I47" s="106">
        <f t="shared" si="53"/>
        <v>5.3629999999999995</v>
      </c>
      <c r="J47" s="106">
        <f t="shared" si="53"/>
        <v>5.3629999999999995</v>
      </c>
      <c r="K47" s="106">
        <f t="shared" si="53"/>
        <v>5.3629999999999995</v>
      </c>
      <c r="L47" s="106">
        <f t="shared" si="53"/>
        <v>6.1235300365250511</v>
      </c>
      <c r="M47" s="106">
        <f t="shared" si="53"/>
        <v>6.1235300365250511</v>
      </c>
      <c r="N47" s="109">
        <f t="shared" si="53"/>
        <v>6.1235300365250511</v>
      </c>
    </row>
    <row r="48" spans="1:15" s="13" customFormat="1" ht="25.5" x14ac:dyDescent="0.2">
      <c r="A48" s="81"/>
      <c r="B48" s="87" t="s">
        <v>118</v>
      </c>
      <c r="C48" s="119">
        <f>SUM(C49:C50)</f>
        <v>1063691.4400000002</v>
      </c>
      <c r="D48" s="119">
        <f t="shared" ref="D48" si="54">SUM(D49:D50)</f>
        <v>1007002.78</v>
      </c>
      <c r="E48" s="120">
        <f t="shared" ref="E48" si="55">SUM(E49:E50)</f>
        <v>1062450.8899999999</v>
      </c>
      <c r="F48" s="120">
        <f t="shared" ref="F48" si="56">SUM(F49:F50)</f>
        <v>1056190.19</v>
      </c>
      <c r="G48" s="183">
        <f t="shared" ref="G48" si="57">SUM(G49:G50)</f>
        <v>1227142.22</v>
      </c>
      <c r="H48" s="119">
        <f t="shared" ref="H48" si="58">SUM(H49:H50)</f>
        <v>1197387.5999999999</v>
      </c>
      <c r="I48" s="119">
        <f t="shared" ref="I48" si="59">SUM(I49:I50)</f>
        <v>1200392.96</v>
      </c>
      <c r="J48" s="119">
        <f t="shared" ref="J48" si="60">SUM(J49:J50)</f>
        <v>1192228.79</v>
      </c>
      <c r="K48" s="119">
        <f t="shared" ref="K48" si="61">SUM(K49:K50)</f>
        <v>1192669.18</v>
      </c>
      <c r="L48" s="119">
        <f t="shared" ref="L48" si="62">SUM(L49:L50)</f>
        <v>1225813.8399999999</v>
      </c>
      <c r="M48" s="119">
        <f t="shared" ref="M48" si="63">SUM(M49:M50)</f>
        <v>1234126.6700000002</v>
      </c>
      <c r="N48" s="184">
        <f t="shared" ref="N48" si="64">SUM(N49:N50)</f>
        <v>1233361.28</v>
      </c>
    </row>
    <row r="49" spans="1:15" s="13" customFormat="1" ht="25.5" x14ac:dyDescent="0.2">
      <c r="A49" s="81"/>
      <c r="B49" s="91" t="s">
        <v>116</v>
      </c>
      <c r="C49" s="179">
        <v>850.58</v>
      </c>
      <c r="D49" s="179">
        <v>1150.1400000000001</v>
      </c>
      <c r="E49" s="180">
        <v>1178.98</v>
      </c>
      <c r="F49" s="180">
        <v>1377.28</v>
      </c>
      <c r="G49" s="181">
        <v>1386.94</v>
      </c>
      <c r="H49" s="179">
        <v>1354.18</v>
      </c>
      <c r="I49" s="179">
        <v>1251.6600000000001</v>
      </c>
      <c r="J49" s="179">
        <v>1551.11</v>
      </c>
      <c r="K49" s="179">
        <v>1608.71</v>
      </c>
      <c r="L49" s="179">
        <v>1250.6400000000001</v>
      </c>
      <c r="M49" s="179">
        <v>1067.3599999999999</v>
      </c>
      <c r="N49" s="182">
        <v>1060.92</v>
      </c>
    </row>
    <row r="50" spans="1:15" s="13" customFormat="1" ht="26.25" thickBot="1" x14ac:dyDescent="0.25">
      <c r="A50" s="32"/>
      <c r="B50" s="186" t="s">
        <v>117</v>
      </c>
      <c r="C50" s="187">
        <f t="shared" ref="C50:N50" si="65">C42</f>
        <v>1062840.8600000001</v>
      </c>
      <c r="D50" s="187">
        <f t="shared" si="65"/>
        <v>1005852.64</v>
      </c>
      <c r="E50" s="100">
        <f t="shared" si="65"/>
        <v>1061271.9099999999</v>
      </c>
      <c r="F50" s="100">
        <f t="shared" si="65"/>
        <v>1054812.9099999999</v>
      </c>
      <c r="G50" s="187">
        <f t="shared" si="65"/>
        <v>1225755.28</v>
      </c>
      <c r="H50" s="187">
        <f t="shared" si="65"/>
        <v>1196033.42</v>
      </c>
      <c r="I50" s="187">
        <f t="shared" si="65"/>
        <v>1199141.3</v>
      </c>
      <c r="J50" s="187">
        <f t="shared" si="65"/>
        <v>1190677.68</v>
      </c>
      <c r="K50" s="187">
        <f t="shared" si="65"/>
        <v>1191060.47</v>
      </c>
      <c r="L50" s="187">
        <f t="shared" si="65"/>
        <v>1224563.2</v>
      </c>
      <c r="M50" s="187">
        <f t="shared" si="65"/>
        <v>1233059.31</v>
      </c>
      <c r="N50" s="188">
        <f t="shared" si="65"/>
        <v>1232300.3600000001</v>
      </c>
    </row>
    <row r="51" spans="1:15" ht="15" customHeight="1" x14ac:dyDescent="0.2"/>
    <row r="52" spans="1:15" ht="15" customHeight="1" x14ac:dyDescent="0.2"/>
    <row r="53" spans="1:15" s="59" customFormat="1" ht="21" customHeight="1" thickBot="1" x14ac:dyDescent="0.25">
      <c r="A53" s="7" t="s">
        <v>80</v>
      </c>
      <c r="B53" s="7"/>
      <c r="C53" s="7"/>
      <c r="D53" s="7"/>
      <c r="E53" s="7"/>
      <c r="F53" s="7"/>
      <c r="G53" s="5"/>
      <c r="H53" s="5"/>
      <c r="I53" s="5"/>
      <c r="J53" s="5"/>
      <c r="K53" s="5"/>
      <c r="L53" s="6"/>
      <c r="M53" s="6"/>
      <c r="N53" s="6"/>
    </row>
    <row r="54" spans="1:15" s="13" customFormat="1" ht="24" customHeight="1" thickBot="1" x14ac:dyDescent="0.25">
      <c r="A54" s="49" t="s">
        <v>0</v>
      </c>
      <c r="B54" s="50" t="s">
        <v>1</v>
      </c>
      <c r="C54" s="51" t="s">
        <v>17</v>
      </c>
      <c r="D54" s="51" t="s">
        <v>18</v>
      </c>
      <c r="E54" s="51" t="s">
        <v>19</v>
      </c>
      <c r="F54" s="51" t="s">
        <v>20</v>
      </c>
      <c r="G54" s="51" t="s">
        <v>21</v>
      </c>
      <c r="H54" s="51" t="s">
        <v>22</v>
      </c>
      <c r="I54" s="51" t="s">
        <v>23</v>
      </c>
      <c r="J54" s="51" t="s">
        <v>24</v>
      </c>
      <c r="K54" s="51" t="s">
        <v>25</v>
      </c>
      <c r="L54" s="51" t="s">
        <v>26</v>
      </c>
      <c r="M54" s="51" t="s">
        <v>27</v>
      </c>
      <c r="N54" s="52" t="s">
        <v>28</v>
      </c>
    </row>
    <row r="55" spans="1:15" s="17" customFormat="1" ht="21" customHeight="1" thickBot="1" x14ac:dyDescent="0.25">
      <c r="A55" s="14" t="s">
        <v>31</v>
      </c>
      <c r="B55" s="15" t="s">
        <v>5</v>
      </c>
      <c r="C55" s="70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2"/>
      <c r="O55" s="44"/>
    </row>
    <row r="56" spans="1:15" s="17" customFormat="1" ht="13.5" thickBot="1" x14ac:dyDescent="0.25">
      <c r="A56" s="18" t="s">
        <v>32</v>
      </c>
      <c r="B56" s="78" t="s">
        <v>7</v>
      </c>
      <c r="C56" s="20"/>
      <c r="D56" s="20"/>
      <c r="E56" s="21"/>
      <c r="F56" s="21"/>
      <c r="G56" s="63"/>
      <c r="H56" s="21"/>
      <c r="I56" s="21"/>
      <c r="J56" s="21"/>
      <c r="K56" s="21"/>
      <c r="L56" s="21"/>
      <c r="M56" s="21"/>
      <c r="N56" s="22"/>
      <c r="O56" s="61"/>
    </row>
    <row r="57" spans="1:15" s="13" customFormat="1" ht="15" customHeight="1" x14ac:dyDescent="0.2">
      <c r="A57" s="80"/>
      <c r="B57" s="86" t="s">
        <v>61</v>
      </c>
      <c r="C57" s="155">
        <f>SUM(C58:C61)</f>
        <v>5146.3230000000003</v>
      </c>
      <c r="D57" s="155">
        <f t="shared" ref="D57" si="66">SUM(D58:D61)</f>
        <v>5343.4030000000002</v>
      </c>
      <c r="E57" s="156">
        <f t="shared" ref="E57" si="67">SUM(E58:E61)</f>
        <v>5352.0730000000003</v>
      </c>
      <c r="F57" s="156">
        <f t="shared" ref="F57" si="68">SUM(F58:F61)</f>
        <v>5316.4030000000002</v>
      </c>
      <c r="G57" s="156">
        <f t="shared" ref="G57" si="69">SUM(G58:G61)</f>
        <v>5294.1729999999998</v>
      </c>
      <c r="H57" s="156">
        <f t="shared" ref="H57" si="70">SUM(H58:H61)</f>
        <v>5305.2029999999995</v>
      </c>
      <c r="I57" s="156">
        <f t="shared" ref="I57" si="71">SUM(I58:I61)</f>
        <v>5560.8729999999996</v>
      </c>
      <c r="J57" s="156">
        <f t="shared" ref="J57" si="72">SUM(J58:J61)</f>
        <v>5587.433</v>
      </c>
      <c r="K57" s="156">
        <f t="shared" ref="K57" si="73">SUM(K58:K61)</f>
        <v>5536.183</v>
      </c>
      <c r="L57" s="156">
        <f t="shared" ref="L57" si="74">SUM(L58:L61)</f>
        <v>6147.033530036525</v>
      </c>
      <c r="M57" s="156">
        <f t="shared" ref="M57" si="75">SUM(M58:M61)</f>
        <v>6199.9135300365251</v>
      </c>
      <c r="N57" s="156">
        <f t="shared" ref="N57" si="76">SUM(N58:N61)</f>
        <v>6151.0535300365254</v>
      </c>
      <c r="O57" s="61"/>
    </row>
    <row r="58" spans="1:15" s="13" customFormat="1" ht="15" customHeight="1" x14ac:dyDescent="0.2">
      <c r="A58" s="29"/>
      <c r="B58" s="89" t="s">
        <v>113</v>
      </c>
      <c r="C58" s="101">
        <v>2190.75</v>
      </c>
      <c r="D58" s="101">
        <v>2387.83</v>
      </c>
      <c r="E58" s="102">
        <v>2396.5</v>
      </c>
      <c r="F58" s="102">
        <v>2360.83</v>
      </c>
      <c r="G58" s="157">
        <v>2338.6</v>
      </c>
      <c r="H58" s="101">
        <v>2349.63</v>
      </c>
      <c r="I58" s="101">
        <v>2605.3000000000002</v>
      </c>
      <c r="J58" s="101">
        <v>2631.86</v>
      </c>
      <c r="K58" s="101">
        <v>2580.61</v>
      </c>
      <c r="L58" s="101">
        <v>2625.93</v>
      </c>
      <c r="M58" s="101">
        <v>2678.81</v>
      </c>
      <c r="N58" s="158">
        <v>2629.95</v>
      </c>
      <c r="O58" s="61"/>
    </row>
    <row r="59" spans="1:15" s="13" customFormat="1" ht="15" customHeight="1" x14ac:dyDescent="0.2">
      <c r="A59" s="25"/>
      <c r="B59" s="90" t="s">
        <v>8</v>
      </c>
      <c r="C59" s="146">
        <v>2725.6</v>
      </c>
      <c r="D59" s="146">
        <v>2725.6</v>
      </c>
      <c r="E59" s="99">
        <v>2725.6</v>
      </c>
      <c r="F59" s="99">
        <v>2725.6</v>
      </c>
      <c r="G59" s="147">
        <v>2725.6</v>
      </c>
      <c r="H59" s="146">
        <v>2725.6</v>
      </c>
      <c r="I59" s="146">
        <v>2725.6</v>
      </c>
      <c r="J59" s="146">
        <v>2725.6</v>
      </c>
      <c r="K59" s="146">
        <v>2725.6</v>
      </c>
      <c r="L59" s="146">
        <v>3139.89</v>
      </c>
      <c r="M59" s="146">
        <v>3139.89</v>
      </c>
      <c r="N59" s="148">
        <v>3139.89</v>
      </c>
      <c r="O59" s="61"/>
    </row>
    <row r="60" spans="1:15" s="13" customFormat="1" ht="15" customHeight="1" x14ac:dyDescent="0.2">
      <c r="A60" s="29"/>
      <c r="B60" s="89" t="s">
        <v>9</v>
      </c>
      <c r="C60" s="114">
        <v>224.61</v>
      </c>
      <c r="D60" s="114">
        <v>224.61</v>
      </c>
      <c r="E60" s="115">
        <v>224.61</v>
      </c>
      <c r="F60" s="115">
        <v>224.61</v>
      </c>
      <c r="G60" s="116">
        <v>224.61</v>
      </c>
      <c r="H60" s="114">
        <v>224.61</v>
      </c>
      <c r="I60" s="114">
        <v>224.61</v>
      </c>
      <c r="J60" s="114">
        <v>224.61</v>
      </c>
      <c r="K60" s="114">
        <v>224.61</v>
      </c>
      <c r="L60" s="114">
        <v>375.09</v>
      </c>
      <c r="M60" s="114">
        <v>375.09</v>
      </c>
      <c r="N60" s="117">
        <v>375.09</v>
      </c>
      <c r="O60" s="61"/>
    </row>
    <row r="61" spans="1:15" s="13" customFormat="1" x14ac:dyDescent="0.2">
      <c r="A61" s="81"/>
      <c r="B61" s="91" t="s">
        <v>42</v>
      </c>
      <c r="C61" s="106">
        <v>5.3629999999999995</v>
      </c>
      <c r="D61" s="106">
        <v>5.3629999999999995</v>
      </c>
      <c r="E61" s="107">
        <v>5.3629999999999995</v>
      </c>
      <c r="F61" s="107">
        <v>5.3629999999999995</v>
      </c>
      <c r="G61" s="108">
        <v>5.3629999999999995</v>
      </c>
      <c r="H61" s="106">
        <v>5.3629999999999995</v>
      </c>
      <c r="I61" s="106">
        <v>5.3629999999999995</v>
      </c>
      <c r="J61" s="106">
        <v>5.3629999999999995</v>
      </c>
      <c r="K61" s="106">
        <v>5.3629999999999995</v>
      </c>
      <c r="L61" s="106">
        <v>6.1235300365250511</v>
      </c>
      <c r="M61" s="106">
        <v>6.1235300365250511</v>
      </c>
      <c r="N61" s="109">
        <v>6.1235300365250511</v>
      </c>
      <c r="O61" s="61"/>
    </row>
    <row r="62" spans="1:15" s="13" customFormat="1" ht="25.5" x14ac:dyDescent="0.2">
      <c r="A62" s="178"/>
      <c r="B62" s="87" t="s">
        <v>118</v>
      </c>
      <c r="C62" s="119">
        <f>SUM(C63:C64)</f>
        <v>1063691.4400000002</v>
      </c>
      <c r="D62" s="119">
        <f t="shared" ref="D62" si="77">SUM(D63:D64)</f>
        <v>1007002.78</v>
      </c>
      <c r="E62" s="120">
        <f t="shared" ref="E62" si="78">SUM(E63:E64)</f>
        <v>1062450.8899999999</v>
      </c>
      <c r="F62" s="120">
        <f t="shared" ref="F62" si="79">SUM(F63:F64)</f>
        <v>1056190.19</v>
      </c>
      <c r="G62" s="183">
        <f t="shared" ref="G62" si="80">SUM(G63:G64)</f>
        <v>1227142.22</v>
      </c>
      <c r="H62" s="119">
        <f t="shared" ref="H62" si="81">SUM(H63:H64)</f>
        <v>1197387.5999999999</v>
      </c>
      <c r="I62" s="119">
        <f t="shared" ref="I62" si="82">SUM(I63:I64)</f>
        <v>1200392.96</v>
      </c>
      <c r="J62" s="119">
        <f t="shared" ref="J62" si="83">SUM(J63:J64)</f>
        <v>1192228.79</v>
      </c>
      <c r="K62" s="119">
        <f t="shared" ref="K62" si="84">SUM(K63:K64)</f>
        <v>1192669.18</v>
      </c>
      <c r="L62" s="119">
        <f t="shared" ref="L62" si="85">SUM(L63:L64)</f>
        <v>1225813.8399999999</v>
      </c>
      <c r="M62" s="119">
        <f t="shared" ref="M62" si="86">SUM(M63:M64)</f>
        <v>1234126.6700000002</v>
      </c>
      <c r="N62" s="184">
        <f t="shared" ref="N62" si="87">SUM(N63:N64)</f>
        <v>1233361.28</v>
      </c>
      <c r="O62" s="61"/>
    </row>
    <row r="63" spans="1:15" s="13" customFormat="1" ht="25.5" x14ac:dyDescent="0.2">
      <c r="A63" s="178"/>
      <c r="B63" s="91" t="s">
        <v>116</v>
      </c>
      <c r="C63" s="179">
        <v>850.58</v>
      </c>
      <c r="D63" s="179">
        <v>1150.1400000000001</v>
      </c>
      <c r="E63" s="180">
        <v>1178.98</v>
      </c>
      <c r="F63" s="180">
        <v>1377.28</v>
      </c>
      <c r="G63" s="181">
        <v>1386.94</v>
      </c>
      <c r="H63" s="179">
        <v>1354.18</v>
      </c>
      <c r="I63" s="179">
        <v>1251.6600000000001</v>
      </c>
      <c r="J63" s="179">
        <v>1551.11</v>
      </c>
      <c r="K63" s="179">
        <v>1608.71</v>
      </c>
      <c r="L63" s="179">
        <v>1250.6400000000001</v>
      </c>
      <c r="M63" s="179">
        <v>1067.3599999999999</v>
      </c>
      <c r="N63" s="182">
        <v>1060.92</v>
      </c>
      <c r="O63" s="61"/>
    </row>
    <row r="64" spans="1:15" s="13" customFormat="1" ht="26.25" thickBot="1" x14ac:dyDescent="0.25">
      <c r="A64" s="82"/>
      <c r="B64" s="186" t="s">
        <v>117</v>
      </c>
      <c r="C64" s="146">
        <v>1062840.8600000001</v>
      </c>
      <c r="D64" s="179">
        <v>1005852.64</v>
      </c>
      <c r="E64" s="180">
        <v>1061271.9099999999</v>
      </c>
      <c r="F64" s="180">
        <v>1054812.9099999999</v>
      </c>
      <c r="G64" s="146">
        <v>1225755.28</v>
      </c>
      <c r="H64" s="146">
        <v>1196033.42</v>
      </c>
      <c r="I64" s="179">
        <v>1199141.3</v>
      </c>
      <c r="J64" s="146">
        <v>1190677.68</v>
      </c>
      <c r="K64" s="179">
        <v>1191060.47</v>
      </c>
      <c r="L64" s="146">
        <v>1224563.2</v>
      </c>
      <c r="M64" s="179">
        <v>1233059.31</v>
      </c>
      <c r="N64" s="146">
        <v>1232300.3600000001</v>
      </c>
    </row>
    <row r="65" spans="1:15" s="13" customFormat="1" ht="26.25" thickBot="1" x14ac:dyDescent="0.25">
      <c r="A65" s="36" t="s">
        <v>33</v>
      </c>
      <c r="B65" s="37" t="s">
        <v>11</v>
      </c>
      <c r="C65" s="20"/>
      <c r="D65" s="20"/>
      <c r="E65" s="21"/>
      <c r="F65" s="21"/>
      <c r="G65" s="66"/>
      <c r="H65" s="20"/>
      <c r="I65" s="20"/>
      <c r="J65" s="20"/>
      <c r="K65" s="20"/>
      <c r="L65" s="20"/>
      <c r="M65" s="20"/>
      <c r="N65" s="55"/>
    </row>
    <row r="66" spans="1:15" s="13" customFormat="1" ht="15" customHeight="1" x14ac:dyDescent="0.2">
      <c r="A66" s="85"/>
      <c r="B66" s="88" t="s">
        <v>61</v>
      </c>
      <c r="C66" s="159">
        <f>SUM(C67:C69)</f>
        <v>2420.723</v>
      </c>
      <c r="D66" s="159">
        <f t="shared" ref="D66" si="88">SUM(D67:D69)</f>
        <v>2617.8029999999999</v>
      </c>
      <c r="E66" s="160">
        <f t="shared" ref="E66" si="89">SUM(E67:E69)</f>
        <v>2626.473</v>
      </c>
      <c r="F66" s="160">
        <f t="shared" ref="F66" si="90">SUM(F67:F69)</f>
        <v>2590.8029999999999</v>
      </c>
      <c r="G66" s="160">
        <f t="shared" ref="G66" si="91">SUM(G67:G69)</f>
        <v>2568.5729999999999</v>
      </c>
      <c r="H66" s="160">
        <f t="shared" ref="H66" si="92">SUM(H67:H69)</f>
        <v>2579.6030000000001</v>
      </c>
      <c r="I66" s="160">
        <f t="shared" ref="I66" si="93">SUM(I67:I69)</f>
        <v>2835.2730000000001</v>
      </c>
      <c r="J66" s="160">
        <f t="shared" ref="J66" si="94">SUM(J67:J69)</f>
        <v>2861.8330000000001</v>
      </c>
      <c r="K66" s="160">
        <f t="shared" ref="K66" si="95">SUM(K67:K69)</f>
        <v>2810.5830000000001</v>
      </c>
      <c r="L66" s="160">
        <f t="shared" ref="L66" si="96">SUM(L67:L69)</f>
        <v>3007.1435300365251</v>
      </c>
      <c r="M66" s="160">
        <f t="shared" ref="M66" si="97">SUM(M67:M69)</f>
        <v>3060.0235300365252</v>
      </c>
      <c r="N66" s="161">
        <f t="shared" ref="N66" si="98">SUM(N67:N69)</f>
        <v>3011.1635300365251</v>
      </c>
    </row>
    <row r="67" spans="1:15" s="13" customFormat="1" ht="15" customHeight="1" x14ac:dyDescent="0.2">
      <c r="A67" s="25"/>
      <c r="B67" s="89" t="s">
        <v>113</v>
      </c>
      <c r="C67" s="101">
        <f t="shared" ref="C67:N67" si="99">C58</f>
        <v>2190.75</v>
      </c>
      <c r="D67" s="101">
        <f t="shared" si="99"/>
        <v>2387.83</v>
      </c>
      <c r="E67" s="102">
        <f t="shared" si="99"/>
        <v>2396.5</v>
      </c>
      <c r="F67" s="102">
        <f t="shared" si="99"/>
        <v>2360.83</v>
      </c>
      <c r="G67" s="157">
        <f t="shared" si="99"/>
        <v>2338.6</v>
      </c>
      <c r="H67" s="101">
        <f t="shared" si="99"/>
        <v>2349.63</v>
      </c>
      <c r="I67" s="101">
        <f t="shared" si="99"/>
        <v>2605.3000000000002</v>
      </c>
      <c r="J67" s="101">
        <f t="shared" si="99"/>
        <v>2631.86</v>
      </c>
      <c r="K67" s="101">
        <f t="shared" si="99"/>
        <v>2580.61</v>
      </c>
      <c r="L67" s="101">
        <f t="shared" si="99"/>
        <v>2625.93</v>
      </c>
      <c r="M67" s="101">
        <f t="shared" si="99"/>
        <v>2678.81</v>
      </c>
      <c r="N67" s="158">
        <f t="shared" si="99"/>
        <v>2629.95</v>
      </c>
    </row>
    <row r="68" spans="1:15" s="13" customFormat="1" ht="15" customHeight="1" x14ac:dyDescent="0.2">
      <c r="A68" s="40"/>
      <c r="B68" s="90" t="s">
        <v>9</v>
      </c>
      <c r="C68" s="114">
        <f t="shared" ref="C68:N68" si="100">C60</f>
        <v>224.61</v>
      </c>
      <c r="D68" s="114">
        <f t="shared" si="100"/>
        <v>224.61</v>
      </c>
      <c r="E68" s="115">
        <f t="shared" si="100"/>
        <v>224.61</v>
      </c>
      <c r="F68" s="115">
        <f t="shared" si="100"/>
        <v>224.61</v>
      </c>
      <c r="G68" s="121">
        <f t="shared" si="100"/>
        <v>224.61</v>
      </c>
      <c r="H68" s="115">
        <f t="shared" si="100"/>
        <v>224.61</v>
      </c>
      <c r="I68" s="115">
        <f t="shared" si="100"/>
        <v>224.61</v>
      </c>
      <c r="J68" s="115">
        <f t="shared" si="100"/>
        <v>224.61</v>
      </c>
      <c r="K68" s="115">
        <f t="shared" si="100"/>
        <v>224.61</v>
      </c>
      <c r="L68" s="115">
        <f t="shared" si="100"/>
        <v>375.09</v>
      </c>
      <c r="M68" s="115">
        <f t="shared" si="100"/>
        <v>375.09</v>
      </c>
      <c r="N68" s="122">
        <f t="shared" si="100"/>
        <v>375.09</v>
      </c>
    </row>
    <row r="69" spans="1:15" s="13" customFormat="1" ht="15" customHeight="1" x14ac:dyDescent="0.2">
      <c r="A69" s="81"/>
      <c r="B69" s="91" t="s">
        <v>42</v>
      </c>
      <c r="C69" s="106">
        <f t="shared" ref="C69:N69" si="101">C61</f>
        <v>5.3629999999999995</v>
      </c>
      <c r="D69" s="106">
        <f t="shared" si="101"/>
        <v>5.3629999999999995</v>
      </c>
      <c r="E69" s="107">
        <f t="shared" si="101"/>
        <v>5.3629999999999995</v>
      </c>
      <c r="F69" s="107">
        <f t="shared" si="101"/>
        <v>5.3629999999999995</v>
      </c>
      <c r="G69" s="108">
        <f t="shared" si="101"/>
        <v>5.3629999999999995</v>
      </c>
      <c r="H69" s="106">
        <f t="shared" si="101"/>
        <v>5.3629999999999995</v>
      </c>
      <c r="I69" s="106">
        <f t="shared" si="101"/>
        <v>5.3629999999999995</v>
      </c>
      <c r="J69" s="106">
        <f t="shared" si="101"/>
        <v>5.3629999999999995</v>
      </c>
      <c r="K69" s="106">
        <f t="shared" si="101"/>
        <v>5.3629999999999995</v>
      </c>
      <c r="L69" s="106">
        <f t="shared" si="101"/>
        <v>6.1235300365250511</v>
      </c>
      <c r="M69" s="106">
        <f t="shared" si="101"/>
        <v>6.1235300365250511</v>
      </c>
      <c r="N69" s="109">
        <f t="shared" si="101"/>
        <v>6.1235300365250511</v>
      </c>
    </row>
    <row r="70" spans="1:15" s="13" customFormat="1" ht="25.5" x14ac:dyDescent="0.2">
      <c r="A70" s="81"/>
      <c r="B70" s="87" t="s">
        <v>118</v>
      </c>
      <c r="C70" s="119">
        <f>SUM(C71:C72)</f>
        <v>1063691.4400000002</v>
      </c>
      <c r="D70" s="119">
        <f t="shared" ref="D70" si="102">SUM(D71:D72)</f>
        <v>1007002.78</v>
      </c>
      <c r="E70" s="120">
        <f t="shared" ref="E70" si="103">SUM(E71:E72)</f>
        <v>1062450.8899999999</v>
      </c>
      <c r="F70" s="120">
        <f t="shared" ref="F70" si="104">SUM(F71:F72)</f>
        <v>1056190.19</v>
      </c>
      <c r="G70" s="183">
        <f t="shared" ref="G70" si="105">SUM(G71:G72)</f>
        <v>1227142.22</v>
      </c>
      <c r="H70" s="119">
        <f t="shared" ref="H70" si="106">SUM(H71:H72)</f>
        <v>1197387.5999999999</v>
      </c>
      <c r="I70" s="119">
        <f t="shared" ref="I70" si="107">SUM(I71:I72)</f>
        <v>1200392.96</v>
      </c>
      <c r="J70" s="119">
        <f t="shared" ref="J70" si="108">SUM(J71:J72)</f>
        <v>1192228.79</v>
      </c>
      <c r="K70" s="119">
        <f t="shared" ref="K70" si="109">SUM(K71:K72)</f>
        <v>1192669.18</v>
      </c>
      <c r="L70" s="119">
        <f t="shared" ref="L70" si="110">SUM(L71:L72)</f>
        <v>1225813.8399999999</v>
      </c>
      <c r="M70" s="119">
        <f t="shared" ref="M70" si="111">SUM(M71:M72)</f>
        <v>1234126.6700000002</v>
      </c>
      <c r="N70" s="184">
        <f t="shared" ref="N70" si="112">SUM(N71:N72)</f>
        <v>1233361.28</v>
      </c>
    </row>
    <row r="71" spans="1:15" s="13" customFormat="1" ht="25.5" x14ac:dyDescent="0.2">
      <c r="A71" s="81"/>
      <c r="B71" s="91" t="s">
        <v>116</v>
      </c>
      <c r="C71" s="179">
        <v>850.58</v>
      </c>
      <c r="D71" s="179">
        <v>1150.1400000000001</v>
      </c>
      <c r="E71" s="180">
        <v>1178.98</v>
      </c>
      <c r="F71" s="180">
        <v>1377.28</v>
      </c>
      <c r="G71" s="181">
        <v>1386.94</v>
      </c>
      <c r="H71" s="179">
        <v>1354.18</v>
      </c>
      <c r="I71" s="179">
        <v>1251.6600000000001</v>
      </c>
      <c r="J71" s="179">
        <v>1551.11</v>
      </c>
      <c r="K71" s="179">
        <v>1608.71</v>
      </c>
      <c r="L71" s="179">
        <v>1250.6400000000001</v>
      </c>
      <c r="M71" s="179">
        <v>1067.3599999999999</v>
      </c>
      <c r="N71" s="182">
        <v>1060.92</v>
      </c>
    </row>
    <row r="72" spans="1:15" s="13" customFormat="1" ht="26.25" thickBot="1" x14ac:dyDescent="0.25">
      <c r="A72" s="32"/>
      <c r="B72" s="186" t="s">
        <v>117</v>
      </c>
      <c r="C72" s="187">
        <f t="shared" ref="C72:N72" si="113">C64</f>
        <v>1062840.8600000001</v>
      </c>
      <c r="D72" s="187">
        <f t="shared" si="113"/>
        <v>1005852.64</v>
      </c>
      <c r="E72" s="100">
        <f t="shared" si="113"/>
        <v>1061271.9099999999</v>
      </c>
      <c r="F72" s="100">
        <f t="shared" si="113"/>
        <v>1054812.9099999999</v>
      </c>
      <c r="G72" s="187">
        <f t="shared" si="113"/>
        <v>1225755.28</v>
      </c>
      <c r="H72" s="187">
        <f t="shared" si="113"/>
        <v>1196033.42</v>
      </c>
      <c r="I72" s="187">
        <f t="shared" si="113"/>
        <v>1199141.3</v>
      </c>
      <c r="J72" s="187">
        <f t="shared" si="113"/>
        <v>1190677.68</v>
      </c>
      <c r="K72" s="187">
        <f t="shared" si="113"/>
        <v>1191060.47</v>
      </c>
      <c r="L72" s="187">
        <f t="shared" si="113"/>
        <v>1224563.2</v>
      </c>
      <c r="M72" s="187">
        <f t="shared" si="113"/>
        <v>1233059.31</v>
      </c>
      <c r="N72" s="188">
        <f t="shared" si="113"/>
        <v>1232300.3600000001</v>
      </c>
    </row>
    <row r="73" spans="1:15" s="13" customFormat="1" ht="15" customHeight="1" x14ac:dyDescent="0.2">
      <c r="A73" s="45"/>
      <c r="B73" s="46"/>
      <c r="C73" s="47"/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5" s="13" customFormat="1" ht="15" customHeight="1" x14ac:dyDescent="0.2">
      <c r="A74" s="45"/>
      <c r="B74" s="46"/>
      <c r="C74" s="47"/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5" s="59" customFormat="1" ht="21" customHeight="1" thickBot="1" x14ac:dyDescent="0.25">
      <c r="A75" s="7" t="s">
        <v>81</v>
      </c>
      <c r="B75" s="7"/>
      <c r="C75" s="7"/>
      <c r="D75" s="7"/>
      <c r="E75" s="7"/>
      <c r="F75" s="7"/>
      <c r="G75" s="5"/>
      <c r="H75" s="5"/>
      <c r="I75" s="5"/>
      <c r="J75" s="5"/>
      <c r="K75" s="5"/>
      <c r="L75" s="6"/>
      <c r="M75" s="6"/>
      <c r="N75" s="6"/>
    </row>
    <row r="76" spans="1:15" s="13" customFormat="1" ht="24" customHeight="1" thickBot="1" x14ac:dyDescent="0.25">
      <c r="A76" s="49" t="s">
        <v>0</v>
      </c>
      <c r="B76" s="50" t="s">
        <v>1</v>
      </c>
      <c r="C76" s="51" t="s">
        <v>17</v>
      </c>
      <c r="D76" s="51" t="s">
        <v>18</v>
      </c>
      <c r="E76" s="51" t="s">
        <v>19</v>
      </c>
      <c r="F76" s="51" t="s">
        <v>20</v>
      </c>
      <c r="G76" s="51" t="s">
        <v>21</v>
      </c>
      <c r="H76" s="51" t="s">
        <v>22</v>
      </c>
      <c r="I76" s="51" t="s">
        <v>23</v>
      </c>
      <c r="J76" s="51" t="s">
        <v>24</v>
      </c>
      <c r="K76" s="51" t="s">
        <v>25</v>
      </c>
      <c r="L76" s="51" t="s">
        <v>26</v>
      </c>
      <c r="M76" s="51" t="s">
        <v>27</v>
      </c>
      <c r="N76" s="52" t="s">
        <v>28</v>
      </c>
    </row>
    <row r="77" spans="1:15" s="17" customFormat="1" ht="21" customHeight="1" thickBot="1" x14ac:dyDescent="0.25">
      <c r="A77" s="14" t="s">
        <v>34</v>
      </c>
      <c r="B77" s="15" t="s">
        <v>5</v>
      </c>
      <c r="C77" s="70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2"/>
      <c r="O77" s="44"/>
    </row>
    <row r="78" spans="1:15" s="17" customFormat="1" ht="13.5" thickBot="1" x14ac:dyDescent="0.25">
      <c r="A78" s="18" t="s">
        <v>35</v>
      </c>
      <c r="B78" s="78" t="s">
        <v>7</v>
      </c>
      <c r="C78" s="20"/>
      <c r="D78" s="20"/>
      <c r="E78" s="21"/>
      <c r="F78" s="21"/>
      <c r="G78" s="63"/>
      <c r="H78" s="21"/>
      <c r="I78" s="21"/>
      <c r="J78" s="21"/>
      <c r="K78" s="21"/>
      <c r="L78" s="21"/>
      <c r="M78" s="21"/>
      <c r="N78" s="22"/>
      <c r="O78" s="61"/>
    </row>
    <row r="79" spans="1:15" s="13" customFormat="1" ht="15" customHeight="1" x14ac:dyDescent="0.2">
      <c r="A79" s="80"/>
      <c r="B79" s="86" t="s">
        <v>61</v>
      </c>
      <c r="C79" s="155">
        <f>SUM(C80:C83)</f>
        <v>6822.4830000000002</v>
      </c>
      <c r="D79" s="155">
        <f t="shared" ref="D79" si="114">SUM(D80:D83)</f>
        <v>7019.5630000000001</v>
      </c>
      <c r="E79" s="156">
        <f t="shared" ref="E79" si="115">SUM(E80:E83)</f>
        <v>7028.2330000000002</v>
      </c>
      <c r="F79" s="156">
        <f t="shared" ref="F79" si="116">SUM(F80:F83)</f>
        <v>6992.5630000000001</v>
      </c>
      <c r="G79" s="156">
        <f t="shared" ref="G79" si="117">SUM(G80:G83)</f>
        <v>6970.3330000000005</v>
      </c>
      <c r="H79" s="156">
        <f t="shared" ref="H79" si="118">SUM(H80:H83)</f>
        <v>6981.3630000000003</v>
      </c>
      <c r="I79" s="156">
        <f t="shared" ref="I79" si="119">SUM(I80:I83)</f>
        <v>7237.0330000000004</v>
      </c>
      <c r="J79" s="156">
        <f t="shared" ref="J79" si="120">SUM(J80:J83)</f>
        <v>7263.5930000000008</v>
      </c>
      <c r="K79" s="156">
        <f t="shared" ref="K79" si="121">SUM(K80:K83)</f>
        <v>7212.3430000000008</v>
      </c>
      <c r="L79" s="156">
        <f t="shared" ref="L79" si="122">SUM(L80:L83)</f>
        <v>8077.9735300365255</v>
      </c>
      <c r="M79" s="156">
        <f t="shared" ref="M79" si="123">SUM(M80:M83)</f>
        <v>8130.8535300365247</v>
      </c>
      <c r="N79" s="156">
        <f t="shared" ref="N79" si="124">SUM(N80:N83)</f>
        <v>8081.993530036525</v>
      </c>
      <c r="O79" s="61"/>
    </row>
    <row r="80" spans="1:15" s="13" customFormat="1" ht="15" customHeight="1" x14ac:dyDescent="0.2">
      <c r="A80" s="29"/>
      <c r="B80" s="89" t="s">
        <v>113</v>
      </c>
      <c r="C80" s="101">
        <v>2190.75</v>
      </c>
      <c r="D80" s="101">
        <v>2387.83</v>
      </c>
      <c r="E80" s="102">
        <v>2396.5</v>
      </c>
      <c r="F80" s="102">
        <v>2360.83</v>
      </c>
      <c r="G80" s="157">
        <v>2338.6</v>
      </c>
      <c r="H80" s="101">
        <v>2349.63</v>
      </c>
      <c r="I80" s="101">
        <v>2605.3000000000002</v>
      </c>
      <c r="J80" s="101">
        <v>2631.86</v>
      </c>
      <c r="K80" s="101">
        <v>2580.61</v>
      </c>
      <c r="L80" s="101">
        <v>2625.93</v>
      </c>
      <c r="M80" s="101">
        <v>2678.81</v>
      </c>
      <c r="N80" s="158">
        <v>2629.95</v>
      </c>
      <c r="O80" s="61"/>
    </row>
    <row r="81" spans="1:15" s="13" customFormat="1" ht="15" customHeight="1" x14ac:dyDescent="0.2">
      <c r="A81" s="25"/>
      <c r="B81" s="90" t="s">
        <v>8</v>
      </c>
      <c r="C81" s="146">
        <v>4401.76</v>
      </c>
      <c r="D81" s="146">
        <v>4401.76</v>
      </c>
      <c r="E81" s="99">
        <v>4401.76</v>
      </c>
      <c r="F81" s="99">
        <v>4401.76</v>
      </c>
      <c r="G81" s="147">
        <v>4401.76</v>
      </c>
      <c r="H81" s="146">
        <v>4401.76</v>
      </c>
      <c r="I81" s="146">
        <v>4401.76</v>
      </c>
      <c r="J81" s="146">
        <v>4401.76</v>
      </c>
      <c r="K81" s="146">
        <v>4401.76</v>
      </c>
      <c r="L81" s="146">
        <v>5070.83</v>
      </c>
      <c r="M81" s="146">
        <v>5070.83</v>
      </c>
      <c r="N81" s="148">
        <v>5070.83</v>
      </c>
      <c r="O81" s="61"/>
    </row>
    <row r="82" spans="1:15" s="13" customFormat="1" ht="15" customHeight="1" x14ac:dyDescent="0.2">
      <c r="A82" s="29"/>
      <c r="B82" s="89" t="s">
        <v>9</v>
      </c>
      <c r="C82" s="114">
        <v>224.61</v>
      </c>
      <c r="D82" s="114">
        <v>224.61</v>
      </c>
      <c r="E82" s="115">
        <v>224.61</v>
      </c>
      <c r="F82" s="115">
        <v>224.61</v>
      </c>
      <c r="G82" s="116">
        <v>224.61</v>
      </c>
      <c r="H82" s="114">
        <v>224.61</v>
      </c>
      <c r="I82" s="114">
        <v>224.61</v>
      </c>
      <c r="J82" s="114">
        <v>224.61</v>
      </c>
      <c r="K82" s="114">
        <v>224.61</v>
      </c>
      <c r="L82" s="114">
        <v>375.09</v>
      </c>
      <c r="M82" s="114">
        <v>375.09</v>
      </c>
      <c r="N82" s="117">
        <v>375.09</v>
      </c>
      <c r="O82" s="61"/>
    </row>
    <row r="83" spans="1:15" s="13" customFormat="1" x14ac:dyDescent="0.2">
      <c r="A83" s="81"/>
      <c r="B83" s="91" t="s">
        <v>42</v>
      </c>
      <c r="C83" s="106">
        <v>5.3629999999999995</v>
      </c>
      <c r="D83" s="106">
        <v>5.3629999999999995</v>
      </c>
      <c r="E83" s="107">
        <v>5.3629999999999995</v>
      </c>
      <c r="F83" s="107">
        <v>5.3629999999999995</v>
      </c>
      <c r="G83" s="108">
        <v>5.3629999999999995</v>
      </c>
      <c r="H83" s="106">
        <v>5.3629999999999995</v>
      </c>
      <c r="I83" s="106">
        <v>5.3629999999999995</v>
      </c>
      <c r="J83" s="106">
        <v>5.3629999999999995</v>
      </c>
      <c r="K83" s="106">
        <v>5.3629999999999995</v>
      </c>
      <c r="L83" s="106">
        <v>6.1235300365250511</v>
      </c>
      <c r="M83" s="106">
        <v>6.1235300365250511</v>
      </c>
      <c r="N83" s="109">
        <v>6.1235300365250511</v>
      </c>
      <c r="O83" s="61"/>
    </row>
    <row r="84" spans="1:15" s="13" customFormat="1" ht="25.5" x14ac:dyDescent="0.2">
      <c r="A84" s="178"/>
      <c r="B84" s="87" t="s">
        <v>118</v>
      </c>
      <c r="C84" s="119">
        <f>SUM(C85:C86)</f>
        <v>1063691.4400000002</v>
      </c>
      <c r="D84" s="119">
        <f t="shared" ref="D84" si="125">SUM(D85:D86)</f>
        <v>1007002.78</v>
      </c>
      <c r="E84" s="120">
        <f t="shared" ref="E84" si="126">SUM(E85:E86)</f>
        <v>1062450.8899999999</v>
      </c>
      <c r="F84" s="120">
        <f t="shared" ref="F84" si="127">SUM(F85:F86)</f>
        <v>1056190.19</v>
      </c>
      <c r="G84" s="183">
        <f t="shared" ref="G84" si="128">SUM(G85:G86)</f>
        <v>1227142.22</v>
      </c>
      <c r="H84" s="119">
        <f t="shared" ref="H84" si="129">SUM(H85:H86)</f>
        <v>1197387.5999999999</v>
      </c>
      <c r="I84" s="119">
        <f t="shared" ref="I84" si="130">SUM(I85:I86)</f>
        <v>1200392.96</v>
      </c>
      <c r="J84" s="119">
        <f t="shared" ref="J84" si="131">SUM(J85:J86)</f>
        <v>1192228.79</v>
      </c>
      <c r="K84" s="119">
        <f t="shared" ref="K84" si="132">SUM(K85:K86)</f>
        <v>1192669.18</v>
      </c>
      <c r="L84" s="119">
        <f t="shared" ref="L84" si="133">SUM(L85:L86)</f>
        <v>1225813.8399999999</v>
      </c>
      <c r="M84" s="119">
        <f t="shared" ref="M84" si="134">SUM(M85:M86)</f>
        <v>1234126.6700000002</v>
      </c>
      <c r="N84" s="184">
        <f t="shared" ref="N84" si="135">SUM(N85:N86)</f>
        <v>1233361.28</v>
      </c>
      <c r="O84" s="61"/>
    </row>
    <row r="85" spans="1:15" s="13" customFormat="1" ht="25.5" x14ac:dyDescent="0.2">
      <c r="A85" s="178"/>
      <c r="B85" s="91" t="s">
        <v>116</v>
      </c>
      <c r="C85" s="179">
        <v>850.58</v>
      </c>
      <c r="D85" s="179">
        <v>1150.1400000000001</v>
      </c>
      <c r="E85" s="180">
        <v>1178.98</v>
      </c>
      <c r="F85" s="180">
        <v>1377.28</v>
      </c>
      <c r="G85" s="181">
        <v>1386.94</v>
      </c>
      <c r="H85" s="179">
        <v>1354.18</v>
      </c>
      <c r="I85" s="179">
        <v>1251.6600000000001</v>
      </c>
      <c r="J85" s="179">
        <v>1551.11</v>
      </c>
      <c r="K85" s="179">
        <v>1608.71</v>
      </c>
      <c r="L85" s="179">
        <v>1250.6400000000001</v>
      </c>
      <c r="M85" s="179">
        <v>1067.3599999999999</v>
      </c>
      <c r="N85" s="182">
        <v>1060.92</v>
      </c>
      <c r="O85" s="61"/>
    </row>
    <row r="86" spans="1:15" s="13" customFormat="1" ht="26.25" thickBot="1" x14ac:dyDescent="0.25">
      <c r="A86" s="82"/>
      <c r="B86" s="186" t="s">
        <v>117</v>
      </c>
      <c r="C86" s="146">
        <v>1062840.8600000001</v>
      </c>
      <c r="D86" s="179">
        <v>1005852.64</v>
      </c>
      <c r="E86" s="180">
        <v>1061271.9099999999</v>
      </c>
      <c r="F86" s="180">
        <v>1054812.9099999999</v>
      </c>
      <c r="G86" s="146">
        <v>1225755.28</v>
      </c>
      <c r="H86" s="146">
        <v>1196033.42</v>
      </c>
      <c r="I86" s="179">
        <v>1199141.3</v>
      </c>
      <c r="J86" s="146">
        <v>1190677.68</v>
      </c>
      <c r="K86" s="179">
        <v>1191060.47</v>
      </c>
      <c r="L86" s="146">
        <v>1224563.2</v>
      </c>
      <c r="M86" s="179">
        <v>1233059.31</v>
      </c>
      <c r="N86" s="146">
        <v>1232300.3600000001</v>
      </c>
    </row>
    <row r="87" spans="1:15" s="13" customFormat="1" ht="26.25" thickBot="1" x14ac:dyDescent="0.25">
      <c r="A87" s="36" t="s">
        <v>36</v>
      </c>
      <c r="B87" s="37" t="s">
        <v>11</v>
      </c>
      <c r="C87" s="20"/>
      <c r="D87" s="20"/>
      <c r="E87" s="21"/>
      <c r="F87" s="21"/>
      <c r="G87" s="66"/>
      <c r="H87" s="20"/>
      <c r="I87" s="20"/>
      <c r="J87" s="20"/>
      <c r="K87" s="20"/>
      <c r="L87" s="20"/>
      <c r="M87" s="20"/>
      <c r="N87" s="55"/>
    </row>
    <row r="88" spans="1:15" s="13" customFormat="1" ht="15" customHeight="1" x14ac:dyDescent="0.2">
      <c r="A88" s="85"/>
      <c r="B88" s="88" t="s">
        <v>61</v>
      </c>
      <c r="C88" s="159">
        <f>SUM(C89:C91)</f>
        <v>2420.723</v>
      </c>
      <c r="D88" s="159">
        <f t="shared" ref="D88" si="136">SUM(D89:D91)</f>
        <v>2617.8029999999999</v>
      </c>
      <c r="E88" s="160">
        <f t="shared" ref="E88" si="137">SUM(E89:E91)</f>
        <v>2626.473</v>
      </c>
      <c r="F88" s="160">
        <f t="shared" ref="F88" si="138">SUM(F89:F91)</f>
        <v>2590.8029999999999</v>
      </c>
      <c r="G88" s="160">
        <f t="shared" ref="G88" si="139">SUM(G89:G91)</f>
        <v>2568.5729999999999</v>
      </c>
      <c r="H88" s="160">
        <f t="shared" ref="H88" si="140">SUM(H89:H91)</f>
        <v>2579.6030000000001</v>
      </c>
      <c r="I88" s="160">
        <f t="shared" ref="I88" si="141">SUM(I89:I91)</f>
        <v>2835.2730000000001</v>
      </c>
      <c r="J88" s="160">
        <f t="shared" ref="J88" si="142">SUM(J89:J91)</f>
        <v>2861.8330000000001</v>
      </c>
      <c r="K88" s="160">
        <f t="shared" ref="K88" si="143">SUM(K89:K91)</f>
        <v>2810.5830000000001</v>
      </c>
      <c r="L88" s="160">
        <f t="shared" ref="L88" si="144">SUM(L89:L91)</f>
        <v>3007.1435300365251</v>
      </c>
      <c r="M88" s="160">
        <f t="shared" ref="M88" si="145">SUM(M89:M91)</f>
        <v>3060.0235300365252</v>
      </c>
      <c r="N88" s="161">
        <f t="shared" ref="N88" si="146">SUM(N89:N91)</f>
        <v>3011.1635300365251</v>
      </c>
    </row>
    <row r="89" spans="1:15" s="13" customFormat="1" ht="15" customHeight="1" x14ac:dyDescent="0.2">
      <c r="A89" s="25"/>
      <c r="B89" s="89" t="s">
        <v>113</v>
      </c>
      <c r="C89" s="101">
        <f t="shared" ref="C89:N89" si="147">C80</f>
        <v>2190.75</v>
      </c>
      <c r="D89" s="101">
        <f t="shared" si="147"/>
        <v>2387.83</v>
      </c>
      <c r="E89" s="102">
        <f t="shared" si="147"/>
        <v>2396.5</v>
      </c>
      <c r="F89" s="102">
        <f t="shared" si="147"/>
        <v>2360.83</v>
      </c>
      <c r="G89" s="157">
        <f t="shared" si="147"/>
        <v>2338.6</v>
      </c>
      <c r="H89" s="101">
        <f t="shared" si="147"/>
        <v>2349.63</v>
      </c>
      <c r="I89" s="101">
        <f t="shared" si="147"/>
        <v>2605.3000000000002</v>
      </c>
      <c r="J89" s="101">
        <f t="shared" si="147"/>
        <v>2631.86</v>
      </c>
      <c r="K89" s="101">
        <f t="shared" si="147"/>
        <v>2580.61</v>
      </c>
      <c r="L89" s="101">
        <f t="shared" si="147"/>
        <v>2625.93</v>
      </c>
      <c r="M89" s="101">
        <f t="shared" si="147"/>
        <v>2678.81</v>
      </c>
      <c r="N89" s="158">
        <f t="shared" si="147"/>
        <v>2629.95</v>
      </c>
    </row>
    <row r="90" spans="1:15" s="13" customFormat="1" ht="15" customHeight="1" x14ac:dyDescent="0.2">
      <c r="A90" s="40"/>
      <c r="B90" s="90" t="s">
        <v>9</v>
      </c>
      <c r="C90" s="114">
        <f t="shared" ref="C90:N90" si="148">C82</f>
        <v>224.61</v>
      </c>
      <c r="D90" s="114">
        <f t="shared" si="148"/>
        <v>224.61</v>
      </c>
      <c r="E90" s="115">
        <f t="shared" si="148"/>
        <v>224.61</v>
      </c>
      <c r="F90" s="115">
        <f t="shared" si="148"/>
        <v>224.61</v>
      </c>
      <c r="G90" s="121">
        <f t="shared" si="148"/>
        <v>224.61</v>
      </c>
      <c r="H90" s="115">
        <f t="shared" si="148"/>
        <v>224.61</v>
      </c>
      <c r="I90" s="115">
        <f t="shared" si="148"/>
        <v>224.61</v>
      </c>
      <c r="J90" s="115">
        <f t="shared" si="148"/>
        <v>224.61</v>
      </c>
      <c r="K90" s="115">
        <f t="shared" si="148"/>
        <v>224.61</v>
      </c>
      <c r="L90" s="115">
        <f t="shared" si="148"/>
        <v>375.09</v>
      </c>
      <c r="M90" s="115">
        <f t="shared" si="148"/>
        <v>375.09</v>
      </c>
      <c r="N90" s="122">
        <f t="shared" si="148"/>
        <v>375.09</v>
      </c>
    </row>
    <row r="91" spans="1:15" s="13" customFormat="1" ht="15" customHeight="1" x14ac:dyDescent="0.2">
      <c r="A91" s="81"/>
      <c r="B91" s="91" t="s">
        <v>42</v>
      </c>
      <c r="C91" s="106">
        <f t="shared" ref="C91:N91" si="149">C83</f>
        <v>5.3629999999999995</v>
      </c>
      <c r="D91" s="106">
        <f t="shared" si="149"/>
        <v>5.3629999999999995</v>
      </c>
      <c r="E91" s="107">
        <f t="shared" si="149"/>
        <v>5.3629999999999995</v>
      </c>
      <c r="F91" s="107">
        <f t="shared" si="149"/>
        <v>5.3629999999999995</v>
      </c>
      <c r="G91" s="108">
        <f t="shared" si="149"/>
        <v>5.3629999999999995</v>
      </c>
      <c r="H91" s="106">
        <f t="shared" si="149"/>
        <v>5.3629999999999995</v>
      </c>
      <c r="I91" s="106">
        <f t="shared" si="149"/>
        <v>5.3629999999999995</v>
      </c>
      <c r="J91" s="106">
        <f t="shared" si="149"/>
        <v>5.3629999999999995</v>
      </c>
      <c r="K91" s="106">
        <f t="shared" si="149"/>
        <v>5.3629999999999995</v>
      </c>
      <c r="L91" s="106">
        <f t="shared" si="149"/>
        <v>6.1235300365250511</v>
      </c>
      <c r="M91" s="106">
        <f t="shared" si="149"/>
        <v>6.1235300365250511</v>
      </c>
      <c r="N91" s="109">
        <f t="shared" si="149"/>
        <v>6.1235300365250511</v>
      </c>
    </row>
    <row r="92" spans="1:15" s="13" customFormat="1" ht="25.5" x14ac:dyDescent="0.2">
      <c r="A92" s="81"/>
      <c r="B92" s="87" t="s">
        <v>118</v>
      </c>
      <c r="C92" s="119">
        <f>SUM(C93:C94)</f>
        <v>1063691.4400000002</v>
      </c>
      <c r="D92" s="119">
        <f t="shared" ref="D92" si="150">SUM(D93:D94)</f>
        <v>1007002.78</v>
      </c>
      <c r="E92" s="120">
        <f t="shared" ref="E92" si="151">SUM(E93:E94)</f>
        <v>1062450.8899999999</v>
      </c>
      <c r="F92" s="120">
        <f t="shared" ref="F92" si="152">SUM(F93:F94)</f>
        <v>1056190.19</v>
      </c>
      <c r="G92" s="183">
        <f t="shared" ref="G92" si="153">SUM(G93:G94)</f>
        <v>1227142.22</v>
      </c>
      <c r="H92" s="119">
        <f t="shared" ref="H92" si="154">SUM(H93:H94)</f>
        <v>1197387.5999999999</v>
      </c>
      <c r="I92" s="119">
        <f t="shared" ref="I92" si="155">SUM(I93:I94)</f>
        <v>1200392.96</v>
      </c>
      <c r="J92" s="119">
        <f t="shared" ref="J92" si="156">SUM(J93:J94)</f>
        <v>1192228.79</v>
      </c>
      <c r="K92" s="119">
        <f t="shared" ref="K92" si="157">SUM(K93:K94)</f>
        <v>1192669.18</v>
      </c>
      <c r="L92" s="119">
        <f t="shared" ref="L92" si="158">SUM(L93:L94)</f>
        <v>1225813.8399999999</v>
      </c>
      <c r="M92" s="119">
        <f t="shared" ref="M92" si="159">SUM(M93:M94)</f>
        <v>1234126.6700000002</v>
      </c>
      <c r="N92" s="184">
        <f t="shared" ref="N92" si="160">SUM(N93:N94)</f>
        <v>1233361.28</v>
      </c>
    </row>
    <row r="93" spans="1:15" s="13" customFormat="1" ht="25.5" x14ac:dyDescent="0.2">
      <c r="A93" s="81"/>
      <c r="B93" s="91" t="s">
        <v>116</v>
      </c>
      <c r="C93" s="179">
        <v>850.58</v>
      </c>
      <c r="D93" s="179">
        <v>1150.1400000000001</v>
      </c>
      <c r="E93" s="180">
        <v>1178.98</v>
      </c>
      <c r="F93" s="180">
        <v>1377.28</v>
      </c>
      <c r="G93" s="181">
        <v>1386.94</v>
      </c>
      <c r="H93" s="179">
        <v>1354.18</v>
      </c>
      <c r="I93" s="179">
        <v>1251.6600000000001</v>
      </c>
      <c r="J93" s="179">
        <v>1551.11</v>
      </c>
      <c r="K93" s="179">
        <v>1608.71</v>
      </c>
      <c r="L93" s="179">
        <v>1250.6400000000001</v>
      </c>
      <c r="M93" s="179">
        <v>1067.3599999999999</v>
      </c>
      <c r="N93" s="182">
        <v>1060.92</v>
      </c>
    </row>
    <row r="94" spans="1:15" s="13" customFormat="1" ht="26.25" thickBot="1" x14ac:dyDescent="0.25">
      <c r="A94" s="32"/>
      <c r="B94" s="186" t="s">
        <v>117</v>
      </c>
      <c r="C94" s="187">
        <f t="shared" ref="C94:N94" si="161">C86</f>
        <v>1062840.8600000001</v>
      </c>
      <c r="D94" s="187">
        <f t="shared" si="161"/>
        <v>1005852.64</v>
      </c>
      <c r="E94" s="100">
        <f t="shared" si="161"/>
        <v>1061271.9099999999</v>
      </c>
      <c r="F94" s="100">
        <f t="shared" si="161"/>
        <v>1054812.9099999999</v>
      </c>
      <c r="G94" s="187">
        <f t="shared" si="161"/>
        <v>1225755.28</v>
      </c>
      <c r="H94" s="187">
        <f t="shared" si="161"/>
        <v>1196033.42</v>
      </c>
      <c r="I94" s="187">
        <f t="shared" si="161"/>
        <v>1199141.3</v>
      </c>
      <c r="J94" s="187">
        <f t="shared" si="161"/>
        <v>1190677.68</v>
      </c>
      <c r="K94" s="187">
        <f t="shared" si="161"/>
        <v>1191060.47</v>
      </c>
      <c r="L94" s="187">
        <f t="shared" si="161"/>
        <v>1224563.2</v>
      </c>
      <c r="M94" s="187">
        <f t="shared" si="161"/>
        <v>1233059.31</v>
      </c>
      <c r="N94" s="188">
        <f t="shared" si="161"/>
        <v>1232300.3600000001</v>
      </c>
    </row>
    <row r="95" spans="1:15" ht="15" customHeight="1" x14ac:dyDescent="0.2"/>
    <row r="96" spans="1:15" ht="15" customHeight="1" x14ac:dyDescent="0.2"/>
    <row r="97" spans="1:15" ht="93" customHeight="1" x14ac:dyDescent="0.2">
      <c r="A97" s="200" t="s">
        <v>108</v>
      </c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69"/>
    </row>
    <row r="98" spans="1:15" ht="30" customHeight="1" x14ac:dyDescent="0.2">
      <c r="A98" s="199" t="s">
        <v>112</v>
      </c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</row>
  </sheetData>
  <mergeCells count="11">
    <mergeCell ref="A97:N97"/>
    <mergeCell ref="A98:N98"/>
    <mergeCell ref="D33:N33"/>
    <mergeCell ref="D55:N55"/>
    <mergeCell ref="D77:N77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6385" r:id="rId4">
          <objectPr defaultSize="0" autoPict="0" r:id="rId5">
            <anchor moveWithCells="1" sizeWithCells="1">
              <from>
                <xdr:col>1</xdr:col>
                <xdr:colOff>0</xdr:colOff>
                <xdr:row>95</xdr:row>
                <xdr:rowOff>0</xdr:rowOff>
              </from>
              <to>
                <xdr:col>1</xdr:col>
                <xdr:colOff>142875</xdr:colOff>
                <xdr:row>95</xdr:row>
                <xdr:rowOff>0</xdr:rowOff>
              </to>
            </anchor>
          </objectPr>
        </oleObject>
      </mc:Choice>
      <mc:Fallback>
        <oleObject progId="Equation.3" shapeId="1638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">
    <tabColor rgb="FF00FF99"/>
  </sheetPr>
  <dimension ref="A1:O102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30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5" s="58" customFormat="1" ht="34.5" customHeight="1" x14ac:dyDescent="0.25">
      <c r="A7" s="206" t="s">
        <v>63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43"/>
      <c r="C8" s="43"/>
      <c r="D8" s="43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78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172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3.5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5.75" customHeight="1" x14ac:dyDescent="0.2">
      <c r="A13" s="83"/>
      <c r="B13" s="86" t="s">
        <v>61</v>
      </c>
      <c r="C13" s="155">
        <f>SUM(C14:C17)</f>
        <v>2501.3029999999999</v>
      </c>
      <c r="D13" s="155">
        <f t="shared" ref="D13:N13" si="0">SUM(D14:D17)</f>
        <v>2698.3829999999998</v>
      </c>
      <c r="E13" s="156">
        <f t="shared" si="0"/>
        <v>2707.0529999999999</v>
      </c>
      <c r="F13" s="156">
        <f t="shared" si="0"/>
        <v>2671.3829999999998</v>
      </c>
      <c r="G13" s="156">
        <f t="shared" si="0"/>
        <v>2649.1529999999998</v>
      </c>
      <c r="H13" s="156">
        <f t="shared" si="0"/>
        <v>2660.183</v>
      </c>
      <c r="I13" s="156">
        <f t="shared" si="0"/>
        <v>2915.8530000000001</v>
      </c>
      <c r="J13" s="156">
        <f t="shared" si="0"/>
        <v>2942.413</v>
      </c>
      <c r="K13" s="156">
        <f t="shared" si="0"/>
        <v>2891.163</v>
      </c>
      <c r="L13" s="156">
        <f t="shared" si="0"/>
        <v>3099.9735300365251</v>
      </c>
      <c r="M13" s="156">
        <f t="shared" si="0"/>
        <v>3152.8535300365252</v>
      </c>
      <c r="N13" s="162">
        <f t="shared" si="0"/>
        <v>3103.993530036525</v>
      </c>
      <c r="O13" s="61"/>
    </row>
    <row r="14" spans="1:15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64</v>
      </c>
      <c r="C15" s="114">
        <v>80.58</v>
      </c>
      <c r="D15" s="114">
        <v>80.58</v>
      </c>
      <c r="E15" s="115">
        <v>80.58</v>
      </c>
      <c r="F15" s="115">
        <v>80.58</v>
      </c>
      <c r="G15" s="116">
        <v>80.58</v>
      </c>
      <c r="H15" s="114">
        <v>80.58</v>
      </c>
      <c r="I15" s="114">
        <v>80.58</v>
      </c>
      <c r="J15" s="114">
        <v>80.58</v>
      </c>
      <c r="K15" s="114">
        <v>80.58</v>
      </c>
      <c r="L15" s="114">
        <v>92.83</v>
      </c>
      <c r="M15" s="114">
        <v>92.83</v>
      </c>
      <c r="N15" s="117">
        <v>92.83</v>
      </c>
      <c r="O15" s="61"/>
    </row>
    <row r="16" spans="1:15" s="13" customFormat="1" ht="15" customHeight="1" x14ac:dyDescent="0.2">
      <c r="A16" s="29"/>
      <c r="B16" s="89" t="s">
        <v>9</v>
      </c>
      <c r="C16" s="114">
        <v>224.61</v>
      </c>
      <c r="D16" s="114">
        <v>224.61</v>
      </c>
      <c r="E16" s="115">
        <v>224.61</v>
      </c>
      <c r="F16" s="115">
        <v>224.61</v>
      </c>
      <c r="G16" s="116">
        <v>224.61</v>
      </c>
      <c r="H16" s="114">
        <v>224.61</v>
      </c>
      <c r="I16" s="114">
        <v>224.61</v>
      </c>
      <c r="J16" s="114">
        <v>224.61</v>
      </c>
      <c r="K16" s="114">
        <v>224.61</v>
      </c>
      <c r="L16" s="114">
        <v>375.09</v>
      </c>
      <c r="M16" s="114">
        <v>375.09</v>
      </c>
      <c r="N16" s="117">
        <v>375.09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25"/>
      <c r="B18" s="87" t="s">
        <v>118</v>
      </c>
      <c r="C18" s="118">
        <f>SUM(C19:C20)</f>
        <v>1063691.4400000002</v>
      </c>
      <c r="D18" s="118">
        <f t="shared" ref="D18:N18" si="1">SUM(D19:D20)</f>
        <v>1007002.78</v>
      </c>
      <c r="E18" s="126">
        <f t="shared" si="1"/>
        <v>1062450.8899999999</v>
      </c>
      <c r="F18" s="126">
        <f t="shared" si="1"/>
        <v>1056190.19</v>
      </c>
      <c r="G18" s="118">
        <f t="shared" si="1"/>
        <v>1227142.22</v>
      </c>
      <c r="H18" s="118">
        <f t="shared" si="1"/>
        <v>1197387.5999999999</v>
      </c>
      <c r="I18" s="118">
        <f t="shared" si="1"/>
        <v>1200392.96</v>
      </c>
      <c r="J18" s="118">
        <f t="shared" si="1"/>
        <v>1192228.79</v>
      </c>
      <c r="K18" s="118">
        <f t="shared" si="1"/>
        <v>1192669.18</v>
      </c>
      <c r="L18" s="118">
        <f t="shared" si="1"/>
        <v>1225813.8399999999</v>
      </c>
      <c r="M18" s="118">
        <f t="shared" si="1"/>
        <v>1234126.6700000002</v>
      </c>
      <c r="N18" s="127">
        <f t="shared" si="1"/>
        <v>1233361.28</v>
      </c>
      <c r="O18" s="61"/>
    </row>
    <row r="19" spans="1:15" s="13" customFormat="1" ht="25.5" x14ac:dyDescent="0.2">
      <c r="A19" s="29"/>
      <c r="B19" s="91" t="s">
        <v>116</v>
      </c>
      <c r="C19" s="101">
        <v>850.58</v>
      </c>
      <c r="D19" s="101">
        <v>1150.1400000000001</v>
      </c>
      <c r="E19" s="102">
        <v>1178.98</v>
      </c>
      <c r="F19" s="102">
        <v>1377.28</v>
      </c>
      <c r="G19" s="157">
        <v>1386.94</v>
      </c>
      <c r="H19" s="101">
        <v>1354.18</v>
      </c>
      <c r="I19" s="101">
        <v>1251.6600000000001</v>
      </c>
      <c r="J19" s="101">
        <v>1551.11</v>
      </c>
      <c r="K19" s="101">
        <v>1608.71</v>
      </c>
      <c r="L19" s="101">
        <v>1250.6400000000001</v>
      </c>
      <c r="M19" s="101">
        <v>1067.3599999999999</v>
      </c>
      <c r="N19" s="158">
        <v>1060.92</v>
      </c>
      <c r="O19" s="61"/>
    </row>
    <row r="20" spans="1:15" s="13" customFormat="1" ht="25.5" x14ac:dyDescent="0.2">
      <c r="A20" s="25"/>
      <c r="B20" s="91" t="s">
        <v>117</v>
      </c>
      <c r="C20" s="146">
        <v>1062840.8600000001</v>
      </c>
      <c r="D20" s="146">
        <v>1005852.64</v>
      </c>
      <c r="E20" s="99">
        <v>1061271.9099999999</v>
      </c>
      <c r="F20" s="99">
        <v>1054812.9099999999</v>
      </c>
      <c r="G20" s="147">
        <v>1225755.28</v>
      </c>
      <c r="H20" s="146">
        <v>1196033.42</v>
      </c>
      <c r="I20" s="146">
        <v>1199141.3</v>
      </c>
      <c r="J20" s="146">
        <v>1190677.68</v>
      </c>
      <c r="K20" s="146">
        <v>1191060.47</v>
      </c>
      <c r="L20" s="146">
        <v>1224563.2</v>
      </c>
      <c r="M20" s="146">
        <v>1233059.31</v>
      </c>
      <c r="N20" s="185">
        <v>1232300.3600000001</v>
      </c>
      <c r="O20" s="61"/>
    </row>
    <row r="21" spans="1:15" s="13" customFormat="1" ht="26.25" thickBot="1" x14ac:dyDescent="0.25">
      <c r="A21" s="41"/>
      <c r="B21" s="92" t="s">
        <v>65</v>
      </c>
      <c r="C21" s="128">
        <v>685440.35</v>
      </c>
      <c r="D21" s="129">
        <v>685440.35</v>
      </c>
      <c r="E21" s="130">
        <v>685440.35</v>
      </c>
      <c r="F21" s="130">
        <v>685440.35</v>
      </c>
      <c r="G21" s="131">
        <v>685440.35</v>
      </c>
      <c r="H21" s="128">
        <v>685440.35</v>
      </c>
      <c r="I21" s="129">
        <v>685440.35</v>
      </c>
      <c r="J21" s="128">
        <v>685440.35</v>
      </c>
      <c r="K21" s="129">
        <v>685440.35</v>
      </c>
      <c r="L21" s="128">
        <v>789627.28</v>
      </c>
      <c r="M21" s="129">
        <v>789627.28</v>
      </c>
      <c r="N21" s="125">
        <v>789627.28</v>
      </c>
      <c r="O21" s="61"/>
    </row>
    <row r="22" spans="1:15" s="13" customFormat="1" ht="26.25" customHeight="1" thickBot="1" x14ac:dyDescent="0.25">
      <c r="A22" s="36" t="s">
        <v>10</v>
      </c>
      <c r="B22" s="37" t="s">
        <v>11</v>
      </c>
      <c r="C22" s="20"/>
      <c r="D22" s="20"/>
      <c r="E22" s="21"/>
      <c r="F22" s="21"/>
      <c r="G22" s="66"/>
      <c r="H22" s="20"/>
      <c r="I22" s="20"/>
      <c r="J22" s="20"/>
      <c r="K22" s="20"/>
      <c r="L22" s="20"/>
      <c r="M22" s="20"/>
      <c r="N22" s="55"/>
      <c r="O22" s="61"/>
    </row>
    <row r="23" spans="1:15" s="13" customFormat="1" ht="14.25" customHeight="1" x14ac:dyDescent="0.2">
      <c r="A23" s="85"/>
      <c r="B23" s="88" t="s">
        <v>61</v>
      </c>
      <c r="C23" s="159">
        <f>SUM(C24:C26)</f>
        <v>2420.723</v>
      </c>
      <c r="D23" s="159">
        <f t="shared" ref="D23:N23" si="2">SUM(D24:D26)</f>
        <v>2617.8029999999999</v>
      </c>
      <c r="E23" s="160">
        <f t="shared" si="2"/>
        <v>2626.473</v>
      </c>
      <c r="F23" s="160">
        <f t="shared" si="2"/>
        <v>2590.8029999999999</v>
      </c>
      <c r="G23" s="160">
        <f t="shared" si="2"/>
        <v>2568.5729999999999</v>
      </c>
      <c r="H23" s="160">
        <f t="shared" si="2"/>
        <v>2579.6030000000001</v>
      </c>
      <c r="I23" s="160">
        <f t="shared" si="2"/>
        <v>2835.2730000000001</v>
      </c>
      <c r="J23" s="160">
        <f t="shared" si="2"/>
        <v>2861.8330000000001</v>
      </c>
      <c r="K23" s="160">
        <f t="shared" si="2"/>
        <v>2810.5830000000001</v>
      </c>
      <c r="L23" s="160">
        <f t="shared" si="2"/>
        <v>3007.1435300365251</v>
      </c>
      <c r="M23" s="160">
        <f t="shared" si="2"/>
        <v>3060.0235300365252</v>
      </c>
      <c r="N23" s="161">
        <f t="shared" si="2"/>
        <v>3011.1635300365251</v>
      </c>
      <c r="O23" s="61"/>
    </row>
    <row r="24" spans="1:15" s="13" customFormat="1" ht="15" customHeight="1" x14ac:dyDescent="0.2">
      <c r="A24" s="25"/>
      <c r="B24" s="89" t="s">
        <v>113</v>
      </c>
      <c r="C24" s="101">
        <f t="shared" ref="C24:N24" si="3">C14</f>
        <v>2190.75</v>
      </c>
      <c r="D24" s="101">
        <f t="shared" si="3"/>
        <v>2387.83</v>
      </c>
      <c r="E24" s="102">
        <f t="shared" si="3"/>
        <v>2396.5</v>
      </c>
      <c r="F24" s="102">
        <f t="shared" si="3"/>
        <v>2360.83</v>
      </c>
      <c r="G24" s="157">
        <f t="shared" si="3"/>
        <v>2338.6</v>
      </c>
      <c r="H24" s="101">
        <f t="shared" si="3"/>
        <v>2349.63</v>
      </c>
      <c r="I24" s="101">
        <f t="shared" si="3"/>
        <v>2605.3000000000002</v>
      </c>
      <c r="J24" s="101">
        <f t="shared" si="3"/>
        <v>2631.86</v>
      </c>
      <c r="K24" s="101">
        <f t="shared" si="3"/>
        <v>2580.61</v>
      </c>
      <c r="L24" s="101">
        <f t="shared" si="3"/>
        <v>2625.93</v>
      </c>
      <c r="M24" s="101">
        <f t="shared" si="3"/>
        <v>2678.81</v>
      </c>
      <c r="N24" s="158">
        <f t="shared" si="3"/>
        <v>2629.95</v>
      </c>
    </row>
    <row r="25" spans="1:15" s="13" customFormat="1" ht="15" customHeight="1" x14ac:dyDescent="0.2">
      <c r="A25" s="40"/>
      <c r="B25" s="90" t="s">
        <v>9</v>
      </c>
      <c r="C25" s="114">
        <f t="shared" ref="C25:N25" si="4">C16</f>
        <v>224.61</v>
      </c>
      <c r="D25" s="114">
        <f t="shared" si="4"/>
        <v>224.61</v>
      </c>
      <c r="E25" s="115">
        <f t="shared" si="4"/>
        <v>224.61</v>
      </c>
      <c r="F25" s="115">
        <f t="shared" si="4"/>
        <v>224.61</v>
      </c>
      <c r="G25" s="121">
        <f t="shared" si="4"/>
        <v>224.61</v>
      </c>
      <c r="H25" s="115">
        <f t="shared" si="4"/>
        <v>224.61</v>
      </c>
      <c r="I25" s="115">
        <f t="shared" si="4"/>
        <v>224.61</v>
      </c>
      <c r="J25" s="115">
        <f t="shared" si="4"/>
        <v>224.61</v>
      </c>
      <c r="K25" s="115">
        <f t="shared" si="4"/>
        <v>224.61</v>
      </c>
      <c r="L25" s="115">
        <f t="shared" si="4"/>
        <v>375.09</v>
      </c>
      <c r="M25" s="115">
        <f t="shared" si="4"/>
        <v>375.09</v>
      </c>
      <c r="N25" s="122">
        <f t="shared" si="4"/>
        <v>375.09</v>
      </c>
    </row>
    <row r="26" spans="1:15" s="13" customFormat="1" ht="15" customHeight="1" x14ac:dyDescent="0.2">
      <c r="A26" s="81"/>
      <c r="B26" s="91" t="s">
        <v>42</v>
      </c>
      <c r="C26" s="106">
        <f t="shared" ref="C26:N26" si="5">C17</f>
        <v>5.3629999999999995</v>
      </c>
      <c r="D26" s="106">
        <f t="shared" si="5"/>
        <v>5.3629999999999995</v>
      </c>
      <c r="E26" s="107">
        <f t="shared" si="5"/>
        <v>5.3629999999999995</v>
      </c>
      <c r="F26" s="107">
        <f t="shared" si="5"/>
        <v>5.3629999999999995</v>
      </c>
      <c r="G26" s="108">
        <f t="shared" si="5"/>
        <v>5.3629999999999995</v>
      </c>
      <c r="H26" s="106">
        <f t="shared" si="5"/>
        <v>5.3629999999999995</v>
      </c>
      <c r="I26" s="106">
        <f t="shared" si="5"/>
        <v>5.3629999999999995</v>
      </c>
      <c r="J26" s="106">
        <f t="shared" si="5"/>
        <v>5.3629999999999995</v>
      </c>
      <c r="K26" s="106">
        <f t="shared" si="5"/>
        <v>5.3629999999999995</v>
      </c>
      <c r="L26" s="106">
        <f t="shared" si="5"/>
        <v>6.1235300365250511</v>
      </c>
      <c r="M26" s="106">
        <f t="shared" si="5"/>
        <v>6.1235300365250511</v>
      </c>
      <c r="N26" s="109">
        <f t="shared" si="5"/>
        <v>6.1235300365250511</v>
      </c>
    </row>
    <row r="27" spans="1:15" s="13" customFormat="1" ht="25.5" x14ac:dyDescent="0.2">
      <c r="A27" s="81"/>
      <c r="B27" s="87" t="s">
        <v>118</v>
      </c>
      <c r="C27" s="118">
        <f>SUM(C28:C29)</f>
        <v>1063691.4400000002</v>
      </c>
      <c r="D27" s="118">
        <f t="shared" ref="D27" si="6">SUM(D28:D29)</f>
        <v>1007002.78</v>
      </c>
      <c r="E27" s="126">
        <f t="shared" ref="E27" si="7">SUM(E28:E29)</f>
        <v>1062450.8899999999</v>
      </c>
      <c r="F27" s="126">
        <f t="shared" ref="F27" si="8">SUM(F28:F29)</f>
        <v>1056190.19</v>
      </c>
      <c r="G27" s="118">
        <f t="shared" ref="G27" si="9">SUM(G28:G29)</f>
        <v>1227142.22</v>
      </c>
      <c r="H27" s="118">
        <f t="shared" ref="H27" si="10">SUM(H28:H29)</f>
        <v>1197387.5999999999</v>
      </c>
      <c r="I27" s="118">
        <f t="shared" ref="I27" si="11">SUM(I28:I29)</f>
        <v>1200392.96</v>
      </c>
      <c r="J27" s="118">
        <f t="shared" ref="J27" si="12">SUM(J28:J29)</f>
        <v>1192228.79</v>
      </c>
      <c r="K27" s="118">
        <f t="shared" ref="K27" si="13">SUM(K28:K29)</f>
        <v>1192669.18</v>
      </c>
      <c r="L27" s="118">
        <f t="shared" ref="L27" si="14">SUM(L28:L29)</f>
        <v>1225813.8399999999</v>
      </c>
      <c r="M27" s="118">
        <f t="shared" ref="M27" si="15">SUM(M28:M29)</f>
        <v>1234126.6700000002</v>
      </c>
      <c r="N27" s="127">
        <f t="shared" ref="N27" si="16">SUM(N28:N29)</f>
        <v>1233361.28</v>
      </c>
    </row>
    <row r="28" spans="1:15" s="13" customFormat="1" ht="25.5" x14ac:dyDescent="0.2">
      <c r="A28" s="81"/>
      <c r="B28" s="91" t="s">
        <v>116</v>
      </c>
      <c r="C28" s="179">
        <v>850.58</v>
      </c>
      <c r="D28" s="179">
        <v>1150.1400000000001</v>
      </c>
      <c r="E28" s="180">
        <v>1178.98</v>
      </c>
      <c r="F28" s="180">
        <v>1377.28</v>
      </c>
      <c r="G28" s="181">
        <v>1386.94</v>
      </c>
      <c r="H28" s="179">
        <v>1354.18</v>
      </c>
      <c r="I28" s="179">
        <v>1251.6600000000001</v>
      </c>
      <c r="J28" s="179">
        <v>1551.11</v>
      </c>
      <c r="K28" s="179">
        <v>1608.71</v>
      </c>
      <c r="L28" s="179">
        <v>1250.6400000000001</v>
      </c>
      <c r="M28" s="179">
        <v>1067.3599999999999</v>
      </c>
      <c r="N28" s="185">
        <v>1060.92</v>
      </c>
    </row>
    <row r="29" spans="1:15" s="13" customFormat="1" ht="26.25" thickBot="1" x14ac:dyDescent="0.25">
      <c r="A29" s="32"/>
      <c r="B29" s="91" t="s">
        <v>117</v>
      </c>
      <c r="C29" s="187">
        <v>1062840.8600000001</v>
      </c>
      <c r="D29" s="187">
        <v>1005852.64</v>
      </c>
      <c r="E29" s="100">
        <v>1061271.9099999999</v>
      </c>
      <c r="F29" s="100">
        <v>1054812.9099999999</v>
      </c>
      <c r="G29" s="187">
        <v>1225755.28</v>
      </c>
      <c r="H29" s="187">
        <v>1196033.42</v>
      </c>
      <c r="I29" s="187">
        <v>1199141.3</v>
      </c>
      <c r="J29" s="187">
        <v>1190677.68</v>
      </c>
      <c r="K29" s="187">
        <v>1191060.47</v>
      </c>
      <c r="L29" s="187">
        <v>1224563.2</v>
      </c>
      <c r="M29" s="187">
        <v>1233059.31</v>
      </c>
      <c r="N29" s="188">
        <v>1232300.3600000001</v>
      </c>
    </row>
    <row r="30" spans="1:15" ht="15" customHeight="1" x14ac:dyDescent="0.2">
      <c r="B30" s="189"/>
    </row>
    <row r="31" spans="1:15" ht="15" customHeight="1" x14ac:dyDescent="0.2"/>
    <row r="32" spans="1:15" s="59" customFormat="1" ht="21" customHeight="1" thickBot="1" x14ac:dyDescent="0.25">
      <c r="A32" s="7" t="s">
        <v>75</v>
      </c>
      <c r="B32" s="7"/>
      <c r="C32" s="7"/>
      <c r="D32" s="7"/>
      <c r="E32" s="7"/>
      <c r="F32" s="7"/>
      <c r="G32" s="5"/>
      <c r="H32" s="5"/>
      <c r="I32" s="5"/>
      <c r="J32" s="5"/>
      <c r="K32" s="5"/>
      <c r="L32" s="6"/>
      <c r="M32" s="6"/>
      <c r="N32" s="6"/>
    </row>
    <row r="33" spans="1:15" s="13" customFormat="1" ht="24" customHeight="1" thickBot="1" x14ac:dyDescent="0.25">
      <c r="A33" s="49" t="s">
        <v>0</v>
      </c>
      <c r="B33" s="50" t="s">
        <v>1</v>
      </c>
      <c r="C33" s="51" t="s">
        <v>17</v>
      </c>
      <c r="D33" s="51" t="s">
        <v>18</v>
      </c>
      <c r="E33" s="51" t="s">
        <v>19</v>
      </c>
      <c r="F33" s="51" t="s">
        <v>20</v>
      </c>
      <c r="G33" s="51" t="s">
        <v>21</v>
      </c>
      <c r="H33" s="51" t="s">
        <v>22</v>
      </c>
      <c r="I33" s="51" t="s">
        <v>23</v>
      </c>
      <c r="J33" s="51" t="s">
        <v>24</v>
      </c>
      <c r="K33" s="51" t="s">
        <v>25</v>
      </c>
      <c r="L33" s="51" t="s">
        <v>26</v>
      </c>
      <c r="M33" s="51" t="s">
        <v>27</v>
      </c>
      <c r="N33" s="52" t="s">
        <v>28</v>
      </c>
    </row>
    <row r="34" spans="1:15" s="17" customFormat="1" ht="21" customHeight="1" thickBot="1" x14ac:dyDescent="0.25">
      <c r="A34" s="14" t="s">
        <v>14</v>
      </c>
      <c r="B34" s="15" t="s">
        <v>5</v>
      </c>
      <c r="C34" s="70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2"/>
      <c r="O34" s="44"/>
    </row>
    <row r="35" spans="1:15" s="17" customFormat="1" ht="13.5" thickBot="1" x14ac:dyDescent="0.25">
      <c r="A35" s="18" t="s">
        <v>15</v>
      </c>
      <c r="B35" s="78" t="s">
        <v>7</v>
      </c>
      <c r="C35" s="20"/>
      <c r="D35" s="20"/>
      <c r="E35" s="21"/>
      <c r="F35" s="21"/>
      <c r="G35" s="63"/>
      <c r="H35" s="21"/>
      <c r="I35" s="21"/>
      <c r="J35" s="21"/>
      <c r="K35" s="21"/>
      <c r="L35" s="21"/>
      <c r="M35" s="21"/>
      <c r="N35" s="22"/>
      <c r="O35" s="61"/>
    </row>
    <row r="36" spans="1:15" s="13" customFormat="1" ht="15" customHeight="1" x14ac:dyDescent="0.2">
      <c r="A36" s="80"/>
      <c r="B36" s="86" t="s">
        <v>61</v>
      </c>
      <c r="C36" s="155">
        <f>SUM(C37:C40)</f>
        <v>2558.453</v>
      </c>
      <c r="D36" s="155">
        <f t="shared" ref="D36:N36" si="17">SUM(D37:D40)</f>
        <v>2755.5329999999999</v>
      </c>
      <c r="E36" s="156">
        <f t="shared" si="17"/>
        <v>2764.203</v>
      </c>
      <c r="F36" s="156">
        <f t="shared" si="17"/>
        <v>2728.5329999999999</v>
      </c>
      <c r="G36" s="156">
        <f t="shared" si="17"/>
        <v>2706.3029999999999</v>
      </c>
      <c r="H36" s="156">
        <f t="shared" si="17"/>
        <v>2717.3330000000001</v>
      </c>
      <c r="I36" s="156">
        <f t="shared" si="17"/>
        <v>2973.0030000000002</v>
      </c>
      <c r="J36" s="156">
        <f t="shared" si="17"/>
        <v>2999.5630000000001</v>
      </c>
      <c r="K36" s="156">
        <f t="shared" si="17"/>
        <v>2948.3130000000001</v>
      </c>
      <c r="L36" s="156">
        <f t="shared" si="17"/>
        <v>3165.803530036525</v>
      </c>
      <c r="M36" s="156">
        <f t="shared" si="17"/>
        <v>3218.6835300365251</v>
      </c>
      <c r="N36" s="156">
        <f t="shared" si="17"/>
        <v>3169.823530036525</v>
      </c>
      <c r="O36" s="61"/>
    </row>
    <row r="37" spans="1:15" s="13" customFormat="1" ht="15" customHeight="1" x14ac:dyDescent="0.2">
      <c r="A37" s="29"/>
      <c r="B37" s="89" t="s">
        <v>113</v>
      </c>
      <c r="C37" s="101">
        <v>2190.75</v>
      </c>
      <c r="D37" s="101">
        <v>2387.83</v>
      </c>
      <c r="E37" s="102">
        <v>2396.5</v>
      </c>
      <c r="F37" s="102">
        <v>2360.83</v>
      </c>
      <c r="G37" s="157">
        <v>2338.6</v>
      </c>
      <c r="H37" s="101">
        <v>2349.63</v>
      </c>
      <c r="I37" s="101">
        <v>2605.3000000000002</v>
      </c>
      <c r="J37" s="101">
        <v>2631.86</v>
      </c>
      <c r="K37" s="101">
        <v>2580.61</v>
      </c>
      <c r="L37" s="101">
        <v>2625.93</v>
      </c>
      <c r="M37" s="101">
        <v>2678.81</v>
      </c>
      <c r="N37" s="158">
        <v>2629.95</v>
      </c>
      <c r="O37" s="61"/>
    </row>
    <row r="38" spans="1:15" s="13" customFormat="1" ht="15" customHeight="1" x14ac:dyDescent="0.2">
      <c r="A38" s="25"/>
      <c r="B38" s="90" t="s">
        <v>64</v>
      </c>
      <c r="C38" s="114">
        <v>137.72999999999999</v>
      </c>
      <c r="D38" s="114">
        <v>137.72999999999999</v>
      </c>
      <c r="E38" s="115">
        <v>137.72999999999999</v>
      </c>
      <c r="F38" s="115">
        <v>137.72999999999999</v>
      </c>
      <c r="G38" s="116">
        <v>137.72999999999999</v>
      </c>
      <c r="H38" s="114">
        <v>137.72999999999999</v>
      </c>
      <c r="I38" s="114">
        <v>137.72999999999999</v>
      </c>
      <c r="J38" s="114">
        <v>137.72999999999999</v>
      </c>
      <c r="K38" s="114">
        <v>137.72999999999999</v>
      </c>
      <c r="L38" s="114">
        <v>158.66</v>
      </c>
      <c r="M38" s="114">
        <v>158.66</v>
      </c>
      <c r="N38" s="117">
        <v>158.66</v>
      </c>
      <c r="O38" s="61"/>
    </row>
    <row r="39" spans="1:15" s="13" customFormat="1" ht="15" customHeight="1" x14ac:dyDescent="0.2">
      <c r="A39" s="29"/>
      <c r="B39" s="89" t="s">
        <v>9</v>
      </c>
      <c r="C39" s="114">
        <v>224.61</v>
      </c>
      <c r="D39" s="114">
        <v>224.61</v>
      </c>
      <c r="E39" s="115">
        <v>224.61</v>
      </c>
      <c r="F39" s="115">
        <v>224.61</v>
      </c>
      <c r="G39" s="116">
        <v>224.61</v>
      </c>
      <c r="H39" s="114">
        <v>224.61</v>
      </c>
      <c r="I39" s="114">
        <v>224.61</v>
      </c>
      <c r="J39" s="114">
        <v>224.61</v>
      </c>
      <c r="K39" s="114">
        <v>224.61</v>
      </c>
      <c r="L39" s="114">
        <v>375.09</v>
      </c>
      <c r="M39" s="114">
        <v>375.09</v>
      </c>
      <c r="N39" s="117">
        <v>375.09</v>
      </c>
      <c r="O39" s="61"/>
    </row>
    <row r="40" spans="1:15" s="13" customFormat="1" x14ac:dyDescent="0.2">
      <c r="A40" s="81"/>
      <c r="B40" s="91" t="s">
        <v>42</v>
      </c>
      <c r="C40" s="106">
        <v>5.3629999999999995</v>
      </c>
      <c r="D40" s="106">
        <v>5.3629999999999995</v>
      </c>
      <c r="E40" s="107">
        <v>5.3629999999999995</v>
      </c>
      <c r="F40" s="107">
        <v>5.3629999999999995</v>
      </c>
      <c r="G40" s="108">
        <v>5.3629999999999995</v>
      </c>
      <c r="H40" s="106">
        <v>5.3629999999999995</v>
      </c>
      <c r="I40" s="106">
        <v>5.3629999999999995</v>
      </c>
      <c r="J40" s="106">
        <v>5.3629999999999995</v>
      </c>
      <c r="K40" s="106">
        <v>5.3629999999999995</v>
      </c>
      <c r="L40" s="106">
        <v>6.1235300365250511</v>
      </c>
      <c r="M40" s="106">
        <v>6.1235300365250511</v>
      </c>
      <c r="N40" s="109">
        <v>6.1235300365250511</v>
      </c>
      <c r="O40" s="61"/>
    </row>
    <row r="41" spans="1:15" s="13" customFormat="1" ht="25.5" x14ac:dyDescent="0.2">
      <c r="A41" s="82"/>
      <c r="B41" s="87" t="s">
        <v>118</v>
      </c>
      <c r="C41" s="118">
        <f>SUM(C42:C43)</f>
        <v>1063691.4400000002</v>
      </c>
      <c r="D41" s="118">
        <f t="shared" ref="D41" si="18">SUM(D42:D43)</f>
        <v>1007002.78</v>
      </c>
      <c r="E41" s="126">
        <f t="shared" ref="E41" si="19">SUM(E42:E43)</f>
        <v>1062450.8899999999</v>
      </c>
      <c r="F41" s="126">
        <f t="shared" ref="F41" si="20">SUM(F42:F43)</f>
        <v>1056190.19</v>
      </c>
      <c r="G41" s="118">
        <f t="shared" ref="G41" si="21">SUM(G42:G43)</f>
        <v>1227142.22</v>
      </c>
      <c r="H41" s="118">
        <f t="shared" ref="H41" si="22">SUM(H42:H43)</f>
        <v>1197387.5999999999</v>
      </c>
      <c r="I41" s="118">
        <f t="shared" ref="I41" si="23">SUM(I42:I43)</f>
        <v>1200392.96</v>
      </c>
      <c r="J41" s="118">
        <f t="shared" ref="J41" si="24">SUM(J42:J43)</f>
        <v>1192228.79</v>
      </c>
      <c r="K41" s="118">
        <f t="shared" ref="K41" si="25">SUM(K42:K43)</f>
        <v>1192669.18</v>
      </c>
      <c r="L41" s="118">
        <f t="shared" ref="L41" si="26">SUM(L42:L43)</f>
        <v>1225813.8399999999</v>
      </c>
      <c r="M41" s="118">
        <f t="shared" ref="M41" si="27">SUM(M42:M43)</f>
        <v>1234126.6700000002</v>
      </c>
      <c r="N41" s="127">
        <f t="shared" ref="N41" si="28">SUM(N42:N43)</f>
        <v>1233361.28</v>
      </c>
    </row>
    <row r="42" spans="1:15" s="13" customFormat="1" ht="25.5" x14ac:dyDescent="0.2">
      <c r="A42" s="178"/>
      <c r="B42" s="91" t="s">
        <v>116</v>
      </c>
      <c r="C42" s="101">
        <v>850.58</v>
      </c>
      <c r="D42" s="101">
        <v>1150.1400000000001</v>
      </c>
      <c r="E42" s="102">
        <v>1178.98</v>
      </c>
      <c r="F42" s="102">
        <v>1377.28</v>
      </c>
      <c r="G42" s="157">
        <v>1386.94</v>
      </c>
      <c r="H42" s="101">
        <v>1354.18</v>
      </c>
      <c r="I42" s="101">
        <v>1251.6600000000001</v>
      </c>
      <c r="J42" s="101">
        <v>1551.11</v>
      </c>
      <c r="K42" s="101">
        <v>1608.71</v>
      </c>
      <c r="L42" s="101">
        <v>1250.6400000000001</v>
      </c>
      <c r="M42" s="101">
        <v>1067.3599999999999</v>
      </c>
      <c r="N42" s="158">
        <v>1060.92</v>
      </c>
    </row>
    <row r="43" spans="1:15" s="13" customFormat="1" ht="25.5" x14ac:dyDescent="0.2">
      <c r="A43" s="178"/>
      <c r="B43" s="91" t="s">
        <v>117</v>
      </c>
      <c r="C43" s="146">
        <v>1062840.8600000001</v>
      </c>
      <c r="D43" s="146">
        <v>1005852.64</v>
      </c>
      <c r="E43" s="99">
        <v>1061271.9099999999</v>
      </c>
      <c r="F43" s="99">
        <v>1054812.9099999999</v>
      </c>
      <c r="G43" s="147">
        <v>1225755.28</v>
      </c>
      <c r="H43" s="146">
        <v>1196033.42</v>
      </c>
      <c r="I43" s="146">
        <v>1199141.3</v>
      </c>
      <c r="J43" s="146">
        <v>1190677.68</v>
      </c>
      <c r="K43" s="146">
        <v>1191060.47</v>
      </c>
      <c r="L43" s="146">
        <v>1224563.2</v>
      </c>
      <c r="M43" s="146">
        <v>1233059.31</v>
      </c>
      <c r="N43" s="185">
        <v>1232300.3600000001</v>
      </c>
    </row>
    <row r="44" spans="1:15" s="13" customFormat="1" ht="26.25" thickBot="1" x14ac:dyDescent="0.25">
      <c r="A44" s="84"/>
      <c r="B44" s="87" t="s">
        <v>65</v>
      </c>
      <c r="C44" s="128">
        <v>1216018.8400000001</v>
      </c>
      <c r="D44" s="123">
        <v>1216018.8400000001</v>
      </c>
      <c r="E44" s="124">
        <v>1216018.8400000001</v>
      </c>
      <c r="F44" s="124">
        <v>1216018.8400000001</v>
      </c>
      <c r="G44" s="131">
        <v>1216018.8400000001</v>
      </c>
      <c r="H44" s="128">
        <v>1216018.8400000001</v>
      </c>
      <c r="I44" s="123">
        <v>1216018.8400000001</v>
      </c>
      <c r="J44" s="128">
        <v>1216018.8400000001</v>
      </c>
      <c r="K44" s="123">
        <v>1216018.8400000001</v>
      </c>
      <c r="L44" s="128">
        <v>1400853.7</v>
      </c>
      <c r="M44" s="123">
        <v>1400853.7</v>
      </c>
      <c r="N44" s="125">
        <v>1400853.7</v>
      </c>
    </row>
    <row r="45" spans="1:15" s="13" customFormat="1" ht="26.25" thickBot="1" x14ac:dyDescent="0.25">
      <c r="A45" s="36" t="s">
        <v>16</v>
      </c>
      <c r="B45" s="37" t="s">
        <v>11</v>
      </c>
      <c r="C45" s="20"/>
      <c r="D45" s="20"/>
      <c r="E45" s="21"/>
      <c r="F45" s="21"/>
      <c r="G45" s="66"/>
      <c r="H45" s="20"/>
      <c r="I45" s="20"/>
      <c r="J45" s="20"/>
      <c r="K45" s="20"/>
      <c r="L45" s="20"/>
      <c r="M45" s="20"/>
      <c r="N45" s="55"/>
    </row>
    <row r="46" spans="1:15" s="13" customFormat="1" ht="15" customHeight="1" x14ac:dyDescent="0.2">
      <c r="A46" s="85"/>
      <c r="B46" s="88" t="s">
        <v>61</v>
      </c>
      <c r="C46" s="159">
        <f>SUM(C47:C49)</f>
        <v>2420.723</v>
      </c>
      <c r="D46" s="159">
        <f t="shared" ref="D46:N46" si="29">SUM(D47:D49)</f>
        <v>2617.8029999999999</v>
      </c>
      <c r="E46" s="160">
        <f t="shared" si="29"/>
        <v>2626.473</v>
      </c>
      <c r="F46" s="160">
        <f t="shared" si="29"/>
        <v>2590.8029999999999</v>
      </c>
      <c r="G46" s="160">
        <f t="shared" si="29"/>
        <v>2568.5729999999999</v>
      </c>
      <c r="H46" s="160">
        <f t="shared" si="29"/>
        <v>2579.6030000000001</v>
      </c>
      <c r="I46" s="160">
        <f t="shared" si="29"/>
        <v>2835.2730000000001</v>
      </c>
      <c r="J46" s="160">
        <f t="shared" si="29"/>
        <v>2861.8330000000001</v>
      </c>
      <c r="K46" s="160">
        <f t="shared" si="29"/>
        <v>2810.5830000000001</v>
      </c>
      <c r="L46" s="160">
        <f t="shared" si="29"/>
        <v>3007.1435300365251</v>
      </c>
      <c r="M46" s="160">
        <f t="shared" si="29"/>
        <v>3060.0235300365252</v>
      </c>
      <c r="N46" s="161">
        <f t="shared" si="29"/>
        <v>3011.1635300365251</v>
      </c>
    </row>
    <row r="47" spans="1:15" s="13" customFormat="1" ht="15" customHeight="1" x14ac:dyDescent="0.2">
      <c r="A47" s="25"/>
      <c r="B47" s="89" t="s">
        <v>113</v>
      </c>
      <c r="C47" s="101">
        <f>C37</f>
        <v>2190.75</v>
      </c>
      <c r="D47" s="101">
        <f t="shared" ref="D47:N47" si="30">D37</f>
        <v>2387.83</v>
      </c>
      <c r="E47" s="102">
        <f t="shared" si="30"/>
        <v>2396.5</v>
      </c>
      <c r="F47" s="102">
        <f t="shared" si="30"/>
        <v>2360.83</v>
      </c>
      <c r="G47" s="157">
        <f t="shared" si="30"/>
        <v>2338.6</v>
      </c>
      <c r="H47" s="101">
        <f t="shared" si="30"/>
        <v>2349.63</v>
      </c>
      <c r="I47" s="101">
        <f t="shared" si="30"/>
        <v>2605.3000000000002</v>
      </c>
      <c r="J47" s="101">
        <f t="shared" si="30"/>
        <v>2631.86</v>
      </c>
      <c r="K47" s="101">
        <f t="shared" si="30"/>
        <v>2580.61</v>
      </c>
      <c r="L47" s="101">
        <f t="shared" si="30"/>
        <v>2625.93</v>
      </c>
      <c r="M47" s="101">
        <f t="shared" si="30"/>
        <v>2678.81</v>
      </c>
      <c r="N47" s="158">
        <f t="shared" si="30"/>
        <v>2629.95</v>
      </c>
    </row>
    <row r="48" spans="1:15" s="13" customFormat="1" ht="15" customHeight="1" x14ac:dyDescent="0.2">
      <c r="A48" s="40"/>
      <c r="B48" s="90" t="s">
        <v>9</v>
      </c>
      <c r="C48" s="114">
        <f t="shared" ref="C48:N48" si="31">C39</f>
        <v>224.61</v>
      </c>
      <c r="D48" s="114">
        <f t="shared" si="31"/>
        <v>224.61</v>
      </c>
      <c r="E48" s="115">
        <f t="shared" si="31"/>
        <v>224.61</v>
      </c>
      <c r="F48" s="115">
        <f t="shared" si="31"/>
        <v>224.61</v>
      </c>
      <c r="G48" s="121">
        <f t="shared" si="31"/>
        <v>224.61</v>
      </c>
      <c r="H48" s="115">
        <f t="shared" si="31"/>
        <v>224.61</v>
      </c>
      <c r="I48" s="115">
        <f t="shared" si="31"/>
        <v>224.61</v>
      </c>
      <c r="J48" s="115">
        <f t="shared" si="31"/>
        <v>224.61</v>
      </c>
      <c r="K48" s="115">
        <f t="shared" si="31"/>
        <v>224.61</v>
      </c>
      <c r="L48" s="115">
        <f t="shared" si="31"/>
        <v>375.09</v>
      </c>
      <c r="M48" s="115">
        <f t="shared" si="31"/>
        <v>375.09</v>
      </c>
      <c r="N48" s="122">
        <f t="shared" si="31"/>
        <v>375.09</v>
      </c>
    </row>
    <row r="49" spans="1:15" s="13" customFormat="1" ht="15" customHeight="1" x14ac:dyDescent="0.2">
      <c r="A49" s="81"/>
      <c r="B49" s="91" t="s">
        <v>42</v>
      </c>
      <c r="C49" s="106">
        <f>C40</f>
        <v>5.3629999999999995</v>
      </c>
      <c r="D49" s="106">
        <f t="shared" ref="D49:N49" si="32">D40</f>
        <v>5.3629999999999995</v>
      </c>
      <c r="E49" s="107">
        <f t="shared" si="32"/>
        <v>5.3629999999999995</v>
      </c>
      <c r="F49" s="107">
        <f t="shared" si="32"/>
        <v>5.3629999999999995</v>
      </c>
      <c r="G49" s="108">
        <f t="shared" si="32"/>
        <v>5.3629999999999995</v>
      </c>
      <c r="H49" s="106">
        <f t="shared" si="32"/>
        <v>5.3629999999999995</v>
      </c>
      <c r="I49" s="106">
        <f t="shared" si="32"/>
        <v>5.3629999999999995</v>
      </c>
      <c r="J49" s="106">
        <f t="shared" si="32"/>
        <v>5.3629999999999995</v>
      </c>
      <c r="K49" s="106">
        <f t="shared" si="32"/>
        <v>5.3629999999999995</v>
      </c>
      <c r="L49" s="106">
        <f t="shared" si="32"/>
        <v>6.1235300365250511</v>
      </c>
      <c r="M49" s="106">
        <f t="shared" si="32"/>
        <v>6.1235300365250511</v>
      </c>
      <c r="N49" s="109">
        <f t="shared" si="32"/>
        <v>6.1235300365250511</v>
      </c>
    </row>
    <row r="50" spans="1:15" s="13" customFormat="1" ht="25.5" x14ac:dyDescent="0.2">
      <c r="A50" s="81"/>
      <c r="B50" s="87" t="s">
        <v>118</v>
      </c>
      <c r="C50" s="118">
        <f>SUM(C51:C52)</f>
        <v>1063691.4400000002</v>
      </c>
      <c r="D50" s="118">
        <f t="shared" ref="D50" si="33">SUM(D51:D52)</f>
        <v>1007002.78</v>
      </c>
      <c r="E50" s="126">
        <f t="shared" ref="E50" si="34">SUM(E51:E52)</f>
        <v>1062450.8899999999</v>
      </c>
      <c r="F50" s="126">
        <f t="shared" ref="F50" si="35">SUM(F51:F52)</f>
        <v>1056190.19</v>
      </c>
      <c r="G50" s="118">
        <f t="shared" ref="G50" si="36">SUM(G51:G52)</f>
        <v>1227142.22</v>
      </c>
      <c r="H50" s="118">
        <f t="shared" ref="H50" si="37">SUM(H51:H52)</f>
        <v>1197387.5999999999</v>
      </c>
      <c r="I50" s="118">
        <f t="shared" ref="I50" si="38">SUM(I51:I52)</f>
        <v>1200392.96</v>
      </c>
      <c r="J50" s="118">
        <f t="shared" ref="J50" si="39">SUM(J51:J52)</f>
        <v>1192228.79</v>
      </c>
      <c r="K50" s="118">
        <f t="shared" ref="K50" si="40">SUM(K51:K52)</f>
        <v>1192669.18</v>
      </c>
      <c r="L50" s="118">
        <f t="shared" ref="L50" si="41">SUM(L51:L52)</f>
        <v>1225813.8399999999</v>
      </c>
      <c r="M50" s="118">
        <f t="shared" ref="M50" si="42">SUM(M51:M52)</f>
        <v>1234126.6700000002</v>
      </c>
      <c r="N50" s="127">
        <f t="shared" ref="N50" si="43">SUM(N51:N52)</f>
        <v>1233361.28</v>
      </c>
    </row>
    <row r="51" spans="1:15" s="13" customFormat="1" ht="25.5" x14ac:dyDescent="0.2">
      <c r="A51" s="81"/>
      <c r="B51" s="91" t="s">
        <v>116</v>
      </c>
      <c r="C51" s="179">
        <v>850.58</v>
      </c>
      <c r="D51" s="179">
        <v>1150.1400000000001</v>
      </c>
      <c r="E51" s="180">
        <v>1178.98</v>
      </c>
      <c r="F51" s="180">
        <v>1377.28</v>
      </c>
      <c r="G51" s="181">
        <v>1386.94</v>
      </c>
      <c r="H51" s="179">
        <v>1354.18</v>
      </c>
      <c r="I51" s="179">
        <v>1251.6600000000001</v>
      </c>
      <c r="J51" s="179">
        <v>1551.11</v>
      </c>
      <c r="K51" s="179">
        <v>1608.71</v>
      </c>
      <c r="L51" s="179">
        <v>1250.6400000000001</v>
      </c>
      <c r="M51" s="179">
        <v>1067.3599999999999</v>
      </c>
      <c r="N51" s="185">
        <v>1060.92</v>
      </c>
    </row>
    <row r="52" spans="1:15" s="13" customFormat="1" ht="26.25" thickBot="1" x14ac:dyDescent="0.25">
      <c r="A52" s="32"/>
      <c r="B52" s="186" t="s">
        <v>117</v>
      </c>
      <c r="C52" s="187">
        <v>1062840.8600000001</v>
      </c>
      <c r="D52" s="187">
        <v>1005852.64</v>
      </c>
      <c r="E52" s="100">
        <v>1061271.9099999999</v>
      </c>
      <c r="F52" s="100">
        <v>1054812.9099999999</v>
      </c>
      <c r="G52" s="187">
        <v>1225755.28</v>
      </c>
      <c r="H52" s="187">
        <v>1196033.42</v>
      </c>
      <c r="I52" s="187">
        <v>1199141.3</v>
      </c>
      <c r="J52" s="187">
        <v>1190677.68</v>
      </c>
      <c r="K52" s="187">
        <v>1191060.47</v>
      </c>
      <c r="L52" s="187">
        <v>1224563.2</v>
      </c>
      <c r="M52" s="187">
        <v>1233059.31</v>
      </c>
      <c r="N52" s="188">
        <v>1232300.3600000001</v>
      </c>
    </row>
    <row r="53" spans="1:15" ht="15" customHeight="1" x14ac:dyDescent="0.2"/>
    <row r="54" spans="1:15" ht="15" customHeight="1" x14ac:dyDescent="0.2"/>
    <row r="55" spans="1:15" s="59" customFormat="1" ht="21" customHeight="1" thickBot="1" x14ac:dyDescent="0.25">
      <c r="A55" s="7" t="s">
        <v>76</v>
      </c>
      <c r="B55" s="7"/>
      <c r="C55" s="7"/>
      <c r="D55" s="7"/>
      <c r="E55" s="7"/>
      <c r="F55" s="7"/>
      <c r="G55" s="5"/>
      <c r="H55" s="5"/>
      <c r="I55" s="5"/>
      <c r="J55" s="5"/>
      <c r="K55" s="5"/>
      <c r="L55" s="6"/>
      <c r="M55" s="6"/>
      <c r="N55" s="6"/>
    </row>
    <row r="56" spans="1:15" s="13" customFormat="1" ht="24" customHeight="1" thickBot="1" x14ac:dyDescent="0.25">
      <c r="A56" s="49" t="s">
        <v>0</v>
      </c>
      <c r="B56" s="50" t="s">
        <v>1</v>
      </c>
      <c r="C56" s="51" t="s">
        <v>17</v>
      </c>
      <c r="D56" s="51" t="s">
        <v>18</v>
      </c>
      <c r="E56" s="51" t="s">
        <v>19</v>
      </c>
      <c r="F56" s="51" t="s">
        <v>20</v>
      </c>
      <c r="G56" s="51" t="s">
        <v>21</v>
      </c>
      <c r="H56" s="51" t="s">
        <v>22</v>
      </c>
      <c r="I56" s="51" t="s">
        <v>23</v>
      </c>
      <c r="J56" s="51" t="s">
        <v>24</v>
      </c>
      <c r="K56" s="51" t="s">
        <v>25</v>
      </c>
      <c r="L56" s="51" t="s">
        <v>26</v>
      </c>
      <c r="M56" s="51" t="s">
        <v>27</v>
      </c>
      <c r="N56" s="52" t="s">
        <v>28</v>
      </c>
    </row>
    <row r="57" spans="1:15" s="17" customFormat="1" ht="21" customHeight="1" thickBot="1" x14ac:dyDescent="0.25">
      <c r="A57" s="14" t="s">
        <v>31</v>
      </c>
      <c r="B57" s="15" t="s">
        <v>5</v>
      </c>
      <c r="C57" s="70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2"/>
      <c r="O57" s="44"/>
    </row>
    <row r="58" spans="1:15" s="17" customFormat="1" ht="14.25" customHeight="1" thickBot="1" x14ac:dyDescent="0.25">
      <c r="A58" s="18" t="s">
        <v>32</v>
      </c>
      <c r="B58" s="78" t="s">
        <v>7</v>
      </c>
      <c r="C58" s="20"/>
      <c r="D58" s="20"/>
      <c r="E58" s="21"/>
      <c r="F58" s="21"/>
      <c r="G58" s="63"/>
      <c r="H58" s="21"/>
      <c r="I58" s="21"/>
      <c r="J58" s="21"/>
      <c r="K58" s="21"/>
      <c r="L58" s="21"/>
      <c r="M58" s="21"/>
      <c r="N58" s="22"/>
      <c r="O58" s="61"/>
    </row>
    <row r="59" spans="1:15" s="13" customFormat="1" ht="15" customHeight="1" x14ac:dyDescent="0.2">
      <c r="A59" s="80"/>
      <c r="B59" s="86" t="s">
        <v>61</v>
      </c>
      <c r="C59" s="155">
        <f>SUM(C60:C63)</f>
        <v>2684.973</v>
      </c>
      <c r="D59" s="155">
        <f t="shared" ref="D59:N59" si="44">SUM(D60:D63)</f>
        <v>2882.0529999999999</v>
      </c>
      <c r="E59" s="156">
        <f t="shared" si="44"/>
        <v>2890.723</v>
      </c>
      <c r="F59" s="156">
        <f t="shared" si="44"/>
        <v>2855.0529999999999</v>
      </c>
      <c r="G59" s="156">
        <f t="shared" si="44"/>
        <v>2832.8229999999999</v>
      </c>
      <c r="H59" s="156">
        <f t="shared" si="44"/>
        <v>2843.8530000000001</v>
      </c>
      <c r="I59" s="156">
        <f t="shared" si="44"/>
        <v>3099.5230000000001</v>
      </c>
      <c r="J59" s="156">
        <f t="shared" si="44"/>
        <v>3126.0830000000001</v>
      </c>
      <c r="K59" s="156">
        <f t="shared" si="44"/>
        <v>3074.8330000000001</v>
      </c>
      <c r="L59" s="156">
        <f t="shared" si="44"/>
        <v>3311.5635300365252</v>
      </c>
      <c r="M59" s="156">
        <f t="shared" si="44"/>
        <v>3364.4435300365253</v>
      </c>
      <c r="N59" s="156">
        <f t="shared" si="44"/>
        <v>3315.5835300365252</v>
      </c>
      <c r="O59" s="61"/>
    </row>
    <row r="60" spans="1:15" s="13" customFormat="1" ht="15" customHeight="1" x14ac:dyDescent="0.2">
      <c r="A60" s="29"/>
      <c r="B60" s="89" t="s">
        <v>113</v>
      </c>
      <c r="C60" s="101">
        <v>2190.75</v>
      </c>
      <c r="D60" s="101">
        <v>2387.83</v>
      </c>
      <c r="E60" s="102">
        <v>2396.5</v>
      </c>
      <c r="F60" s="102">
        <v>2360.83</v>
      </c>
      <c r="G60" s="157">
        <v>2338.6</v>
      </c>
      <c r="H60" s="101">
        <v>2349.63</v>
      </c>
      <c r="I60" s="101">
        <v>2605.3000000000002</v>
      </c>
      <c r="J60" s="101">
        <v>2631.86</v>
      </c>
      <c r="K60" s="101">
        <v>2580.61</v>
      </c>
      <c r="L60" s="101">
        <v>2625.93</v>
      </c>
      <c r="M60" s="101">
        <v>2678.81</v>
      </c>
      <c r="N60" s="158">
        <v>2629.95</v>
      </c>
      <c r="O60" s="61"/>
    </row>
    <row r="61" spans="1:15" s="13" customFormat="1" ht="15" customHeight="1" x14ac:dyDescent="0.2">
      <c r="A61" s="25"/>
      <c r="B61" s="90" t="s">
        <v>64</v>
      </c>
      <c r="C61" s="114">
        <v>264.25</v>
      </c>
      <c r="D61" s="114">
        <v>264.25</v>
      </c>
      <c r="E61" s="115">
        <v>264.25</v>
      </c>
      <c r="F61" s="115">
        <v>264.25</v>
      </c>
      <c r="G61" s="116">
        <v>264.25</v>
      </c>
      <c r="H61" s="114">
        <v>264.25</v>
      </c>
      <c r="I61" s="114">
        <v>264.25</v>
      </c>
      <c r="J61" s="114">
        <v>264.25</v>
      </c>
      <c r="K61" s="114">
        <v>264.25</v>
      </c>
      <c r="L61" s="114">
        <v>304.42</v>
      </c>
      <c r="M61" s="114">
        <v>304.42</v>
      </c>
      <c r="N61" s="117">
        <v>304.42</v>
      </c>
      <c r="O61" s="61"/>
    </row>
    <row r="62" spans="1:15" s="13" customFormat="1" ht="15" customHeight="1" x14ac:dyDescent="0.2">
      <c r="A62" s="29"/>
      <c r="B62" s="89" t="s">
        <v>9</v>
      </c>
      <c r="C62" s="114">
        <v>224.61</v>
      </c>
      <c r="D62" s="114">
        <v>224.61</v>
      </c>
      <c r="E62" s="115">
        <v>224.61</v>
      </c>
      <c r="F62" s="115">
        <v>224.61</v>
      </c>
      <c r="G62" s="116">
        <v>224.61</v>
      </c>
      <c r="H62" s="114">
        <v>224.61</v>
      </c>
      <c r="I62" s="114">
        <v>224.61</v>
      </c>
      <c r="J62" s="114">
        <v>224.61</v>
      </c>
      <c r="K62" s="114">
        <v>224.61</v>
      </c>
      <c r="L62" s="114">
        <v>375.09</v>
      </c>
      <c r="M62" s="114">
        <v>375.09</v>
      </c>
      <c r="N62" s="117">
        <v>375.09</v>
      </c>
      <c r="O62" s="61"/>
    </row>
    <row r="63" spans="1:15" s="13" customFormat="1" x14ac:dyDescent="0.2">
      <c r="A63" s="81"/>
      <c r="B63" s="91" t="s">
        <v>42</v>
      </c>
      <c r="C63" s="106">
        <v>5.3629999999999995</v>
      </c>
      <c r="D63" s="106">
        <v>5.3629999999999995</v>
      </c>
      <c r="E63" s="107">
        <v>5.3629999999999995</v>
      </c>
      <c r="F63" s="107">
        <v>5.3629999999999995</v>
      </c>
      <c r="G63" s="108">
        <v>5.3629999999999995</v>
      </c>
      <c r="H63" s="106">
        <v>5.3629999999999995</v>
      </c>
      <c r="I63" s="106">
        <v>5.3629999999999995</v>
      </c>
      <c r="J63" s="106">
        <v>5.3629999999999995</v>
      </c>
      <c r="K63" s="106">
        <v>5.3629999999999995</v>
      </c>
      <c r="L63" s="106">
        <v>6.1235300365250511</v>
      </c>
      <c r="M63" s="106">
        <v>6.1235300365250511</v>
      </c>
      <c r="N63" s="109">
        <v>6.1235300365250511</v>
      </c>
      <c r="O63" s="61"/>
    </row>
    <row r="64" spans="1:15" s="13" customFormat="1" ht="25.5" x14ac:dyDescent="0.2">
      <c r="A64" s="82"/>
      <c r="B64" s="87" t="s">
        <v>118</v>
      </c>
      <c r="C64" s="118">
        <f>SUM(C65:C66)</f>
        <v>1063691.4400000002</v>
      </c>
      <c r="D64" s="118">
        <f t="shared" ref="D64" si="45">SUM(D65:D66)</f>
        <v>1007002.78</v>
      </c>
      <c r="E64" s="126">
        <f t="shared" ref="E64" si="46">SUM(E65:E66)</f>
        <v>1062450.8899999999</v>
      </c>
      <c r="F64" s="126">
        <f t="shared" ref="F64" si="47">SUM(F65:F66)</f>
        <v>1056190.19</v>
      </c>
      <c r="G64" s="118">
        <f t="shared" ref="G64" si="48">SUM(G65:G66)</f>
        <v>1227142.22</v>
      </c>
      <c r="H64" s="118">
        <f t="shared" ref="H64" si="49">SUM(H65:H66)</f>
        <v>1197387.5999999999</v>
      </c>
      <c r="I64" s="118">
        <f t="shared" ref="I64" si="50">SUM(I65:I66)</f>
        <v>1200392.96</v>
      </c>
      <c r="J64" s="118">
        <f t="shared" ref="J64" si="51">SUM(J65:J66)</f>
        <v>1192228.79</v>
      </c>
      <c r="K64" s="118">
        <f t="shared" ref="K64" si="52">SUM(K65:K66)</f>
        <v>1192669.18</v>
      </c>
      <c r="L64" s="118">
        <f t="shared" ref="L64" si="53">SUM(L65:L66)</f>
        <v>1225813.8399999999</v>
      </c>
      <c r="M64" s="118">
        <f t="shared" ref="M64" si="54">SUM(M65:M66)</f>
        <v>1234126.6700000002</v>
      </c>
      <c r="N64" s="127">
        <f t="shared" ref="N64" si="55">SUM(N65:N66)</f>
        <v>1233361.28</v>
      </c>
    </row>
    <row r="65" spans="1:15" s="13" customFormat="1" ht="25.5" x14ac:dyDescent="0.2">
      <c r="A65" s="178"/>
      <c r="B65" s="91" t="s">
        <v>116</v>
      </c>
      <c r="C65" s="101">
        <v>850.58</v>
      </c>
      <c r="D65" s="101">
        <v>1150.1400000000001</v>
      </c>
      <c r="E65" s="102">
        <v>1178.98</v>
      </c>
      <c r="F65" s="102">
        <v>1377.28</v>
      </c>
      <c r="G65" s="157">
        <v>1386.94</v>
      </c>
      <c r="H65" s="101">
        <v>1354.18</v>
      </c>
      <c r="I65" s="101">
        <v>1251.6600000000001</v>
      </c>
      <c r="J65" s="101">
        <v>1551.11</v>
      </c>
      <c r="K65" s="101">
        <v>1608.71</v>
      </c>
      <c r="L65" s="101">
        <v>1250.6400000000001</v>
      </c>
      <c r="M65" s="101">
        <v>1067.3599999999999</v>
      </c>
      <c r="N65" s="158">
        <v>1060.92</v>
      </c>
    </row>
    <row r="66" spans="1:15" s="13" customFormat="1" ht="25.5" x14ac:dyDescent="0.2">
      <c r="A66" s="178"/>
      <c r="B66" s="91" t="s">
        <v>117</v>
      </c>
      <c r="C66" s="146">
        <v>1062840.8600000001</v>
      </c>
      <c r="D66" s="146">
        <v>1005852.64</v>
      </c>
      <c r="E66" s="99">
        <v>1061271.9099999999</v>
      </c>
      <c r="F66" s="99">
        <v>1054812.9099999999</v>
      </c>
      <c r="G66" s="147">
        <v>1225755.28</v>
      </c>
      <c r="H66" s="146">
        <v>1196033.42</v>
      </c>
      <c r="I66" s="146">
        <v>1199141.3</v>
      </c>
      <c r="J66" s="146">
        <v>1190677.68</v>
      </c>
      <c r="K66" s="146">
        <v>1191060.47</v>
      </c>
      <c r="L66" s="146">
        <v>1224563.2</v>
      </c>
      <c r="M66" s="146">
        <v>1233059.31</v>
      </c>
      <c r="N66" s="185">
        <v>1232300.3600000001</v>
      </c>
    </row>
    <row r="67" spans="1:15" s="13" customFormat="1" ht="26.25" thickBot="1" x14ac:dyDescent="0.25">
      <c r="A67" s="84"/>
      <c r="B67" s="87" t="s">
        <v>65</v>
      </c>
      <c r="C67" s="128">
        <v>1327021.72</v>
      </c>
      <c r="D67" s="123">
        <v>1327021.72</v>
      </c>
      <c r="E67" s="124">
        <v>1327021.72</v>
      </c>
      <c r="F67" s="124">
        <v>1327021.72</v>
      </c>
      <c r="G67" s="131">
        <v>1327021.72</v>
      </c>
      <c r="H67" s="128">
        <v>1327021.72</v>
      </c>
      <c r="I67" s="123">
        <v>1327021.72</v>
      </c>
      <c r="J67" s="128">
        <v>1327021.72</v>
      </c>
      <c r="K67" s="123">
        <v>1327021.72</v>
      </c>
      <c r="L67" s="128">
        <v>1528729.02</v>
      </c>
      <c r="M67" s="123">
        <v>1528729.02</v>
      </c>
      <c r="N67" s="125">
        <v>1528729.02</v>
      </c>
    </row>
    <row r="68" spans="1:15" s="13" customFormat="1" ht="26.25" thickBot="1" x14ac:dyDescent="0.25">
      <c r="A68" s="36" t="s">
        <v>33</v>
      </c>
      <c r="B68" s="37" t="s">
        <v>11</v>
      </c>
      <c r="C68" s="20"/>
      <c r="D68" s="20"/>
      <c r="E68" s="21"/>
      <c r="F68" s="21"/>
      <c r="G68" s="66"/>
      <c r="H68" s="20"/>
      <c r="I68" s="20"/>
      <c r="J68" s="20"/>
      <c r="K68" s="20"/>
      <c r="L68" s="20"/>
      <c r="M68" s="20"/>
      <c r="N68" s="55"/>
    </row>
    <row r="69" spans="1:15" s="13" customFormat="1" ht="15" customHeight="1" x14ac:dyDescent="0.2">
      <c r="A69" s="85"/>
      <c r="B69" s="88" t="s">
        <v>61</v>
      </c>
      <c r="C69" s="159">
        <f>SUM(C70:C72)</f>
        <v>2420.723</v>
      </c>
      <c r="D69" s="159">
        <f t="shared" ref="D69:N69" si="56">SUM(D70:D72)</f>
        <v>2617.8029999999999</v>
      </c>
      <c r="E69" s="160">
        <f t="shared" si="56"/>
        <v>2626.473</v>
      </c>
      <c r="F69" s="160">
        <f t="shared" si="56"/>
        <v>2590.8029999999999</v>
      </c>
      <c r="G69" s="160">
        <f t="shared" si="56"/>
        <v>2568.5729999999999</v>
      </c>
      <c r="H69" s="160">
        <f t="shared" si="56"/>
        <v>2579.6030000000001</v>
      </c>
      <c r="I69" s="160">
        <f t="shared" si="56"/>
        <v>2835.2730000000001</v>
      </c>
      <c r="J69" s="160">
        <f t="shared" si="56"/>
        <v>2861.8330000000001</v>
      </c>
      <c r="K69" s="160">
        <f t="shared" si="56"/>
        <v>2810.5830000000001</v>
      </c>
      <c r="L69" s="160">
        <f t="shared" si="56"/>
        <v>3007.1435300365251</v>
      </c>
      <c r="M69" s="160">
        <f t="shared" si="56"/>
        <v>3060.0235300365252</v>
      </c>
      <c r="N69" s="161">
        <f t="shared" si="56"/>
        <v>3011.1635300365251</v>
      </c>
    </row>
    <row r="70" spans="1:15" s="13" customFormat="1" ht="15" customHeight="1" x14ac:dyDescent="0.2">
      <c r="A70" s="25"/>
      <c r="B70" s="89" t="s">
        <v>113</v>
      </c>
      <c r="C70" s="101">
        <f>C60</f>
        <v>2190.75</v>
      </c>
      <c r="D70" s="101">
        <f t="shared" ref="D70:N70" si="57">D60</f>
        <v>2387.83</v>
      </c>
      <c r="E70" s="102">
        <f t="shared" si="57"/>
        <v>2396.5</v>
      </c>
      <c r="F70" s="102">
        <f t="shared" si="57"/>
        <v>2360.83</v>
      </c>
      <c r="G70" s="157">
        <f t="shared" si="57"/>
        <v>2338.6</v>
      </c>
      <c r="H70" s="101">
        <f t="shared" si="57"/>
        <v>2349.63</v>
      </c>
      <c r="I70" s="101">
        <f t="shared" si="57"/>
        <v>2605.3000000000002</v>
      </c>
      <c r="J70" s="101">
        <f t="shared" si="57"/>
        <v>2631.86</v>
      </c>
      <c r="K70" s="101">
        <f t="shared" si="57"/>
        <v>2580.61</v>
      </c>
      <c r="L70" s="101">
        <f t="shared" si="57"/>
        <v>2625.93</v>
      </c>
      <c r="M70" s="101">
        <f t="shared" si="57"/>
        <v>2678.81</v>
      </c>
      <c r="N70" s="158">
        <f t="shared" si="57"/>
        <v>2629.95</v>
      </c>
    </row>
    <row r="71" spans="1:15" s="13" customFormat="1" ht="15" customHeight="1" x14ac:dyDescent="0.2">
      <c r="A71" s="40"/>
      <c r="B71" s="90" t="s">
        <v>9</v>
      </c>
      <c r="C71" s="114">
        <f t="shared" ref="C71:N71" si="58">C62</f>
        <v>224.61</v>
      </c>
      <c r="D71" s="114">
        <f t="shared" si="58"/>
        <v>224.61</v>
      </c>
      <c r="E71" s="115">
        <f t="shared" si="58"/>
        <v>224.61</v>
      </c>
      <c r="F71" s="115">
        <f t="shared" si="58"/>
        <v>224.61</v>
      </c>
      <c r="G71" s="121">
        <f t="shared" si="58"/>
        <v>224.61</v>
      </c>
      <c r="H71" s="115">
        <f t="shared" si="58"/>
        <v>224.61</v>
      </c>
      <c r="I71" s="115">
        <f t="shared" si="58"/>
        <v>224.61</v>
      </c>
      <c r="J71" s="115">
        <f t="shared" si="58"/>
        <v>224.61</v>
      </c>
      <c r="K71" s="115">
        <f t="shared" si="58"/>
        <v>224.61</v>
      </c>
      <c r="L71" s="115">
        <f t="shared" si="58"/>
        <v>375.09</v>
      </c>
      <c r="M71" s="115">
        <f t="shared" si="58"/>
        <v>375.09</v>
      </c>
      <c r="N71" s="122">
        <f t="shared" si="58"/>
        <v>375.09</v>
      </c>
    </row>
    <row r="72" spans="1:15" s="13" customFormat="1" ht="15" customHeight="1" x14ac:dyDescent="0.2">
      <c r="A72" s="81"/>
      <c r="B72" s="91" t="s">
        <v>42</v>
      </c>
      <c r="C72" s="106">
        <f>C63</f>
        <v>5.3629999999999995</v>
      </c>
      <c r="D72" s="106">
        <f t="shared" ref="D72:N72" si="59">D63</f>
        <v>5.3629999999999995</v>
      </c>
      <c r="E72" s="107">
        <f t="shared" si="59"/>
        <v>5.3629999999999995</v>
      </c>
      <c r="F72" s="107">
        <f t="shared" si="59"/>
        <v>5.3629999999999995</v>
      </c>
      <c r="G72" s="108">
        <f t="shared" si="59"/>
        <v>5.3629999999999995</v>
      </c>
      <c r="H72" s="106">
        <f t="shared" si="59"/>
        <v>5.3629999999999995</v>
      </c>
      <c r="I72" s="106">
        <f t="shared" si="59"/>
        <v>5.3629999999999995</v>
      </c>
      <c r="J72" s="106">
        <f t="shared" si="59"/>
        <v>5.3629999999999995</v>
      </c>
      <c r="K72" s="106">
        <f t="shared" si="59"/>
        <v>5.3629999999999995</v>
      </c>
      <c r="L72" s="106">
        <f t="shared" si="59"/>
        <v>6.1235300365250511</v>
      </c>
      <c r="M72" s="106">
        <f t="shared" si="59"/>
        <v>6.1235300365250511</v>
      </c>
      <c r="N72" s="109">
        <f t="shared" si="59"/>
        <v>6.1235300365250511</v>
      </c>
    </row>
    <row r="73" spans="1:15" s="13" customFormat="1" ht="25.5" x14ac:dyDescent="0.2">
      <c r="A73" s="81"/>
      <c r="B73" s="87" t="s">
        <v>118</v>
      </c>
      <c r="C73" s="118">
        <f>SUM(C74:C75)</f>
        <v>1063691.4400000002</v>
      </c>
      <c r="D73" s="118">
        <f t="shared" ref="D73" si="60">SUM(D74:D75)</f>
        <v>1007002.78</v>
      </c>
      <c r="E73" s="126">
        <f t="shared" ref="E73" si="61">SUM(E74:E75)</f>
        <v>1062450.8899999999</v>
      </c>
      <c r="F73" s="126">
        <f t="shared" ref="F73" si="62">SUM(F74:F75)</f>
        <v>1056190.19</v>
      </c>
      <c r="G73" s="118">
        <f t="shared" ref="G73" si="63">SUM(G74:G75)</f>
        <v>1227142.22</v>
      </c>
      <c r="H73" s="118">
        <f t="shared" ref="H73" si="64">SUM(H74:H75)</f>
        <v>1197387.5999999999</v>
      </c>
      <c r="I73" s="118">
        <f t="shared" ref="I73" si="65">SUM(I74:I75)</f>
        <v>1200392.96</v>
      </c>
      <c r="J73" s="118">
        <f t="shared" ref="J73" si="66">SUM(J74:J75)</f>
        <v>1192228.79</v>
      </c>
      <c r="K73" s="118">
        <f t="shared" ref="K73" si="67">SUM(K74:K75)</f>
        <v>1192669.18</v>
      </c>
      <c r="L73" s="118">
        <f t="shared" ref="L73" si="68">SUM(L74:L75)</f>
        <v>1225813.8399999999</v>
      </c>
      <c r="M73" s="118">
        <f t="shared" ref="M73" si="69">SUM(M74:M75)</f>
        <v>1234126.6700000002</v>
      </c>
      <c r="N73" s="127">
        <f t="shared" ref="N73" si="70">SUM(N74:N75)</f>
        <v>1233361.28</v>
      </c>
    </row>
    <row r="74" spans="1:15" s="13" customFormat="1" ht="25.5" x14ac:dyDescent="0.2">
      <c r="A74" s="81"/>
      <c r="B74" s="91" t="s">
        <v>116</v>
      </c>
      <c r="C74" s="179">
        <v>850.58</v>
      </c>
      <c r="D74" s="179">
        <v>1150.1400000000001</v>
      </c>
      <c r="E74" s="180">
        <v>1178.98</v>
      </c>
      <c r="F74" s="180">
        <v>1377.28</v>
      </c>
      <c r="G74" s="181">
        <v>1386.94</v>
      </c>
      <c r="H74" s="179">
        <v>1354.18</v>
      </c>
      <c r="I74" s="179">
        <v>1251.6600000000001</v>
      </c>
      <c r="J74" s="179">
        <v>1551.11</v>
      </c>
      <c r="K74" s="179">
        <v>1608.71</v>
      </c>
      <c r="L74" s="179">
        <v>1250.6400000000001</v>
      </c>
      <c r="M74" s="179">
        <v>1067.3599999999999</v>
      </c>
      <c r="N74" s="185">
        <v>1060.92</v>
      </c>
    </row>
    <row r="75" spans="1:15" s="13" customFormat="1" ht="26.25" thickBot="1" x14ac:dyDescent="0.25">
      <c r="A75" s="32"/>
      <c r="B75" s="91" t="s">
        <v>117</v>
      </c>
      <c r="C75" s="187">
        <v>1062840.8600000001</v>
      </c>
      <c r="D75" s="187">
        <v>1005852.64</v>
      </c>
      <c r="E75" s="100">
        <v>1061271.9099999999</v>
      </c>
      <c r="F75" s="100">
        <v>1054812.9099999999</v>
      </c>
      <c r="G75" s="187">
        <v>1225755.28</v>
      </c>
      <c r="H75" s="187">
        <v>1196033.42</v>
      </c>
      <c r="I75" s="187">
        <v>1199141.3</v>
      </c>
      <c r="J75" s="187">
        <v>1190677.68</v>
      </c>
      <c r="K75" s="187">
        <v>1191060.47</v>
      </c>
      <c r="L75" s="187">
        <v>1224563.2</v>
      </c>
      <c r="M75" s="187">
        <v>1233059.31</v>
      </c>
      <c r="N75" s="188">
        <v>1232300.3600000001</v>
      </c>
    </row>
    <row r="76" spans="1:15" s="13" customFormat="1" ht="15" customHeight="1" x14ac:dyDescent="0.2">
      <c r="A76" s="45"/>
      <c r="B76" s="190"/>
      <c r="C76" s="47"/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</row>
    <row r="77" spans="1:15" s="13" customFormat="1" ht="15" customHeight="1" x14ac:dyDescent="0.2">
      <c r="A77" s="45"/>
      <c r="B77" s="46"/>
      <c r="C77" s="47"/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</row>
    <row r="78" spans="1:15" s="59" customFormat="1" ht="21" customHeight="1" thickBot="1" x14ac:dyDescent="0.25">
      <c r="A78" s="7" t="s">
        <v>77</v>
      </c>
      <c r="B78" s="7"/>
      <c r="C78" s="7"/>
      <c r="D78" s="7"/>
      <c r="E78" s="7"/>
      <c r="F78" s="7"/>
      <c r="G78" s="5"/>
      <c r="H78" s="5"/>
      <c r="I78" s="5"/>
      <c r="J78" s="5"/>
      <c r="K78" s="5"/>
      <c r="L78" s="6"/>
      <c r="M78" s="6"/>
      <c r="N78" s="6"/>
    </row>
    <row r="79" spans="1:15" s="13" customFormat="1" ht="24" customHeight="1" thickBot="1" x14ac:dyDescent="0.25">
      <c r="A79" s="49" t="s">
        <v>0</v>
      </c>
      <c r="B79" s="50" t="s">
        <v>1</v>
      </c>
      <c r="C79" s="51" t="s">
        <v>17</v>
      </c>
      <c r="D79" s="51" t="s">
        <v>18</v>
      </c>
      <c r="E79" s="51" t="s">
        <v>19</v>
      </c>
      <c r="F79" s="51" t="s">
        <v>20</v>
      </c>
      <c r="G79" s="51" t="s">
        <v>21</v>
      </c>
      <c r="H79" s="51" t="s">
        <v>22</v>
      </c>
      <c r="I79" s="51" t="s">
        <v>23</v>
      </c>
      <c r="J79" s="51" t="s">
        <v>24</v>
      </c>
      <c r="K79" s="51" t="s">
        <v>25</v>
      </c>
      <c r="L79" s="51" t="s">
        <v>26</v>
      </c>
      <c r="M79" s="51" t="s">
        <v>27</v>
      </c>
      <c r="N79" s="52" t="s">
        <v>28</v>
      </c>
    </row>
    <row r="80" spans="1:15" s="17" customFormat="1" ht="21" customHeight="1" thickBot="1" x14ac:dyDescent="0.25">
      <c r="A80" s="14" t="s">
        <v>34</v>
      </c>
      <c r="B80" s="15" t="s">
        <v>5</v>
      </c>
      <c r="C80" s="70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2"/>
      <c r="O80" s="44"/>
    </row>
    <row r="81" spans="1:15" s="17" customFormat="1" ht="13.5" thickBot="1" x14ac:dyDescent="0.25">
      <c r="A81" s="18" t="s">
        <v>35</v>
      </c>
      <c r="B81" s="78" t="s">
        <v>7</v>
      </c>
      <c r="C81" s="20"/>
      <c r="D81" s="20"/>
      <c r="E81" s="21"/>
      <c r="F81" s="21"/>
      <c r="G81" s="63"/>
      <c r="H81" s="21"/>
      <c r="I81" s="21"/>
      <c r="J81" s="21"/>
      <c r="K81" s="21"/>
      <c r="L81" s="21"/>
      <c r="M81" s="21"/>
      <c r="N81" s="22"/>
      <c r="O81" s="61"/>
    </row>
    <row r="82" spans="1:15" s="13" customFormat="1" ht="15" customHeight="1" x14ac:dyDescent="0.2">
      <c r="A82" s="80"/>
      <c r="B82" s="86" t="s">
        <v>61</v>
      </c>
      <c r="C82" s="155">
        <f>SUM(C83:C86)</f>
        <v>2949.3629999999998</v>
      </c>
      <c r="D82" s="155">
        <f t="shared" ref="D82:N82" si="71">SUM(D83:D86)</f>
        <v>3146.4429999999998</v>
      </c>
      <c r="E82" s="156">
        <f t="shared" si="71"/>
        <v>3155.1129999999998</v>
      </c>
      <c r="F82" s="156">
        <f t="shared" si="71"/>
        <v>3119.4429999999998</v>
      </c>
      <c r="G82" s="156">
        <f t="shared" si="71"/>
        <v>3097.2129999999997</v>
      </c>
      <c r="H82" s="156">
        <f t="shared" si="71"/>
        <v>3108.2429999999999</v>
      </c>
      <c r="I82" s="156">
        <f t="shared" si="71"/>
        <v>3363.913</v>
      </c>
      <c r="J82" s="156">
        <f t="shared" si="71"/>
        <v>3390.473</v>
      </c>
      <c r="K82" s="156">
        <f t="shared" si="71"/>
        <v>3339.223</v>
      </c>
      <c r="L82" s="156">
        <f t="shared" si="71"/>
        <v>3616.1335300365254</v>
      </c>
      <c r="M82" s="156">
        <f t="shared" si="71"/>
        <v>3669.0135300365255</v>
      </c>
      <c r="N82" s="156">
        <f t="shared" si="71"/>
        <v>3620.1535300365249</v>
      </c>
      <c r="O82" s="61"/>
    </row>
    <row r="83" spans="1:15" s="13" customFormat="1" ht="15" customHeight="1" x14ac:dyDescent="0.2">
      <c r="A83" s="29"/>
      <c r="B83" s="89" t="s">
        <v>113</v>
      </c>
      <c r="C83" s="101">
        <v>2190.75</v>
      </c>
      <c r="D83" s="101">
        <v>2387.83</v>
      </c>
      <c r="E83" s="102">
        <v>2396.5</v>
      </c>
      <c r="F83" s="102">
        <v>2360.83</v>
      </c>
      <c r="G83" s="157">
        <v>2338.6</v>
      </c>
      <c r="H83" s="101">
        <v>2349.63</v>
      </c>
      <c r="I83" s="101">
        <v>2605.3000000000002</v>
      </c>
      <c r="J83" s="101">
        <v>2631.86</v>
      </c>
      <c r="K83" s="101">
        <v>2580.61</v>
      </c>
      <c r="L83" s="101">
        <v>2625.93</v>
      </c>
      <c r="M83" s="101">
        <v>2678.81</v>
      </c>
      <c r="N83" s="158">
        <v>2629.95</v>
      </c>
      <c r="O83" s="61"/>
    </row>
    <row r="84" spans="1:15" s="13" customFormat="1" ht="15" customHeight="1" x14ac:dyDescent="0.2">
      <c r="A84" s="25"/>
      <c r="B84" s="90" t="s">
        <v>64</v>
      </c>
      <c r="C84" s="114">
        <v>528.64</v>
      </c>
      <c r="D84" s="114">
        <v>528.64</v>
      </c>
      <c r="E84" s="115">
        <v>528.64</v>
      </c>
      <c r="F84" s="115">
        <v>528.64</v>
      </c>
      <c r="G84" s="116">
        <v>528.64</v>
      </c>
      <c r="H84" s="114">
        <v>528.64</v>
      </c>
      <c r="I84" s="114">
        <v>528.64</v>
      </c>
      <c r="J84" s="114">
        <v>528.64</v>
      </c>
      <c r="K84" s="114">
        <v>528.64</v>
      </c>
      <c r="L84" s="114">
        <v>608.99</v>
      </c>
      <c r="M84" s="114">
        <v>608.99</v>
      </c>
      <c r="N84" s="117">
        <v>608.99</v>
      </c>
      <c r="O84" s="61"/>
    </row>
    <row r="85" spans="1:15" s="13" customFormat="1" ht="15" customHeight="1" x14ac:dyDescent="0.2">
      <c r="A85" s="29"/>
      <c r="B85" s="89" t="s">
        <v>9</v>
      </c>
      <c r="C85" s="114">
        <v>224.61</v>
      </c>
      <c r="D85" s="114">
        <v>224.61</v>
      </c>
      <c r="E85" s="115">
        <v>224.61</v>
      </c>
      <c r="F85" s="115">
        <v>224.61</v>
      </c>
      <c r="G85" s="116">
        <v>224.61</v>
      </c>
      <c r="H85" s="114">
        <v>224.61</v>
      </c>
      <c r="I85" s="114">
        <v>224.61</v>
      </c>
      <c r="J85" s="114">
        <v>224.61</v>
      </c>
      <c r="K85" s="114">
        <v>224.61</v>
      </c>
      <c r="L85" s="114">
        <v>375.09</v>
      </c>
      <c r="M85" s="114">
        <v>375.09</v>
      </c>
      <c r="N85" s="117">
        <v>375.09</v>
      </c>
      <c r="O85" s="61"/>
    </row>
    <row r="86" spans="1:15" s="13" customFormat="1" x14ac:dyDescent="0.2">
      <c r="A86" s="81"/>
      <c r="B86" s="91" t="s">
        <v>42</v>
      </c>
      <c r="C86" s="106">
        <v>5.3629999999999995</v>
      </c>
      <c r="D86" s="106">
        <v>5.3629999999999995</v>
      </c>
      <c r="E86" s="107">
        <v>5.3629999999999995</v>
      </c>
      <c r="F86" s="107">
        <v>5.3629999999999995</v>
      </c>
      <c r="G86" s="108">
        <v>5.3629999999999995</v>
      </c>
      <c r="H86" s="106">
        <v>5.3629999999999995</v>
      </c>
      <c r="I86" s="106">
        <v>5.3629999999999995</v>
      </c>
      <c r="J86" s="106">
        <v>5.3629999999999995</v>
      </c>
      <c r="K86" s="106">
        <v>5.3629999999999995</v>
      </c>
      <c r="L86" s="106">
        <v>6.1235300365250511</v>
      </c>
      <c r="M86" s="106">
        <v>6.1235300365250511</v>
      </c>
      <c r="N86" s="109">
        <v>6.1235300365250511</v>
      </c>
      <c r="O86" s="61"/>
    </row>
    <row r="87" spans="1:15" s="13" customFormat="1" ht="25.5" x14ac:dyDescent="0.2">
      <c r="A87" s="82"/>
      <c r="B87" s="87" t="s">
        <v>118</v>
      </c>
      <c r="C87" s="118">
        <f>SUM(C88:C89)</f>
        <v>1063691.4400000002</v>
      </c>
      <c r="D87" s="118">
        <f t="shared" ref="D87" si="72">SUM(D88:D89)</f>
        <v>1007002.78</v>
      </c>
      <c r="E87" s="126">
        <f t="shared" ref="E87" si="73">SUM(E88:E89)</f>
        <v>1062450.8899999999</v>
      </c>
      <c r="F87" s="126">
        <f t="shared" ref="F87" si="74">SUM(F88:F89)</f>
        <v>1056190.19</v>
      </c>
      <c r="G87" s="118">
        <f t="shared" ref="G87" si="75">SUM(G88:G89)</f>
        <v>1227142.22</v>
      </c>
      <c r="H87" s="118">
        <f t="shared" ref="H87" si="76">SUM(H88:H89)</f>
        <v>1197387.5999999999</v>
      </c>
      <c r="I87" s="118">
        <f t="shared" ref="I87" si="77">SUM(I88:I89)</f>
        <v>1200392.96</v>
      </c>
      <c r="J87" s="118">
        <f t="shared" ref="J87" si="78">SUM(J88:J89)</f>
        <v>1192228.79</v>
      </c>
      <c r="K87" s="118">
        <f t="shared" ref="K87" si="79">SUM(K88:K89)</f>
        <v>1192669.18</v>
      </c>
      <c r="L87" s="118">
        <f t="shared" ref="L87" si="80">SUM(L88:L89)</f>
        <v>1225813.8399999999</v>
      </c>
      <c r="M87" s="118">
        <f t="shared" ref="M87" si="81">SUM(M88:M89)</f>
        <v>1234126.6700000002</v>
      </c>
      <c r="N87" s="127">
        <f t="shared" ref="N87" si="82">SUM(N88:N89)</f>
        <v>1233361.28</v>
      </c>
    </row>
    <row r="88" spans="1:15" s="13" customFormat="1" ht="25.5" x14ac:dyDescent="0.2">
      <c r="A88" s="178"/>
      <c r="B88" s="91" t="s">
        <v>116</v>
      </c>
      <c r="C88" s="101">
        <v>850.58</v>
      </c>
      <c r="D88" s="101">
        <v>1150.1400000000001</v>
      </c>
      <c r="E88" s="102">
        <v>1178.98</v>
      </c>
      <c r="F88" s="102">
        <v>1377.28</v>
      </c>
      <c r="G88" s="157">
        <v>1386.94</v>
      </c>
      <c r="H88" s="101">
        <v>1354.18</v>
      </c>
      <c r="I88" s="101">
        <v>1251.6600000000001</v>
      </c>
      <c r="J88" s="101">
        <v>1551.11</v>
      </c>
      <c r="K88" s="101">
        <v>1608.71</v>
      </c>
      <c r="L88" s="101">
        <v>1250.6400000000001</v>
      </c>
      <c r="M88" s="101">
        <v>1067.3599999999999</v>
      </c>
      <c r="N88" s="158">
        <v>1060.92</v>
      </c>
    </row>
    <row r="89" spans="1:15" s="13" customFormat="1" ht="25.5" x14ac:dyDescent="0.2">
      <c r="A89" s="178"/>
      <c r="B89" s="91" t="s">
        <v>117</v>
      </c>
      <c r="C89" s="146">
        <v>1062840.8600000001</v>
      </c>
      <c r="D89" s="146">
        <v>1005852.64</v>
      </c>
      <c r="E89" s="99">
        <v>1061271.9099999999</v>
      </c>
      <c r="F89" s="99">
        <v>1054812.9099999999</v>
      </c>
      <c r="G89" s="147">
        <v>1225755.28</v>
      </c>
      <c r="H89" s="146">
        <v>1196033.42</v>
      </c>
      <c r="I89" s="146">
        <v>1199141.3</v>
      </c>
      <c r="J89" s="146">
        <v>1190677.68</v>
      </c>
      <c r="K89" s="146">
        <v>1191060.47</v>
      </c>
      <c r="L89" s="146">
        <v>1224563.2</v>
      </c>
      <c r="M89" s="146">
        <v>1233059.31</v>
      </c>
      <c r="N89" s="185">
        <v>1232300.3600000001</v>
      </c>
    </row>
    <row r="90" spans="1:15" s="13" customFormat="1" ht="26.25" thickBot="1" x14ac:dyDescent="0.25">
      <c r="A90" s="84"/>
      <c r="B90" s="87" t="s">
        <v>65</v>
      </c>
      <c r="C90" s="128">
        <v>1661213.17</v>
      </c>
      <c r="D90" s="123">
        <v>1661213.17</v>
      </c>
      <c r="E90" s="124">
        <v>1661213.17</v>
      </c>
      <c r="F90" s="124">
        <v>1661213.17</v>
      </c>
      <c r="G90" s="131">
        <v>1661213.17</v>
      </c>
      <c r="H90" s="128">
        <v>1661213.17</v>
      </c>
      <c r="I90" s="123">
        <v>1661213.17</v>
      </c>
      <c r="J90" s="128">
        <v>1661213.17</v>
      </c>
      <c r="K90" s="123">
        <v>1661213.17</v>
      </c>
      <c r="L90" s="128">
        <v>1913717.57</v>
      </c>
      <c r="M90" s="123">
        <v>1913717.57</v>
      </c>
      <c r="N90" s="125">
        <v>1913717.57</v>
      </c>
    </row>
    <row r="91" spans="1:15" s="13" customFormat="1" ht="26.25" thickBot="1" x14ac:dyDescent="0.25">
      <c r="A91" s="36" t="s">
        <v>36</v>
      </c>
      <c r="B91" s="37" t="s">
        <v>11</v>
      </c>
      <c r="C91" s="20"/>
      <c r="D91" s="20"/>
      <c r="E91" s="21"/>
      <c r="F91" s="21"/>
      <c r="G91" s="66"/>
      <c r="H91" s="20"/>
      <c r="I91" s="20"/>
      <c r="J91" s="20"/>
      <c r="K91" s="20"/>
      <c r="L91" s="20"/>
      <c r="M91" s="20"/>
      <c r="N91" s="55"/>
    </row>
    <row r="92" spans="1:15" s="13" customFormat="1" ht="15" customHeight="1" x14ac:dyDescent="0.2">
      <c r="A92" s="85"/>
      <c r="B92" s="88" t="s">
        <v>61</v>
      </c>
      <c r="C92" s="159">
        <f>SUM(C93:C95)</f>
        <v>2420.723</v>
      </c>
      <c r="D92" s="159">
        <f t="shared" ref="D92:N92" si="83">SUM(D93:D95)</f>
        <v>2617.8029999999999</v>
      </c>
      <c r="E92" s="160">
        <f t="shared" si="83"/>
        <v>2626.473</v>
      </c>
      <c r="F92" s="160">
        <f t="shared" si="83"/>
        <v>2590.8029999999999</v>
      </c>
      <c r="G92" s="160">
        <f t="shared" si="83"/>
        <v>2568.5729999999999</v>
      </c>
      <c r="H92" s="160">
        <f t="shared" si="83"/>
        <v>2579.6030000000001</v>
      </c>
      <c r="I92" s="160">
        <f t="shared" si="83"/>
        <v>2835.2730000000001</v>
      </c>
      <c r="J92" s="160">
        <f t="shared" si="83"/>
        <v>2861.8330000000001</v>
      </c>
      <c r="K92" s="160">
        <f t="shared" si="83"/>
        <v>2810.5830000000001</v>
      </c>
      <c r="L92" s="160">
        <f t="shared" si="83"/>
        <v>3007.1435300365251</v>
      </c>
      <c r="M92" s="160">
        <f t="shared" si="83"/>
        <v>3060.0235300365252</v>
      </c>
      <c r="N92" s="161">
        <f t="shared" si="83"/>
        <v>3011.1635300365251</v>
      </c>
    </row>
    <row r="93" spans="1:15" s="13" customFormat="1" ht="15" customHeight="1" x14ac:dyDescent="0.2">
      <c r="A93" s="25"/>
      <c r="B93" s="89" t="s">
        <v>113</v>
      </c>
      <c r="C93" s="101">
        <f>C83</f>
        <v>2190.75</v>
      </c>
      <c r="D93" s="101">
        <f t="shared" ref="D93:N93" si="84">D83</f>
        <v>2387.83</v>
      </c>
      <c r="E93" s="102">
        <f t="shared" si="84"/>
        <v>2396.5</v>
      </c>
      <c r="F93" s="102">
        <f t="shared" si="84"/>
        <v>2360.83</v>
      </c>
      <c r="G93" s="157">
        <f t="shared" si="84"/>
        <v>2338.6</v>
      </c>
      <c r="H93" s="101">
        <f t="shared" si="84"/>
        <v>2349.63</v>
      </c>
      <c r="I93" s="101">
        <f t="shared" si="84"/>
        <v>2605.3000000000002</v>
      </c>
      <c r="J93" s="101">
        <f t="shared" si="84"/>
        <v>2631.86</v>
      </c>
      <c r="K93" s="101">
        <f t="shared" si="84"/>
        <v>2580.61</v>
      </c>
      <c r="L93" s="101">
        <f t="shared" si="84"/>
        <v>2625.93</v>
      </c>
      <c r="M93" s="101">
        <f t="shared" si="84"/>
        <v>2678.81</v>
      </c>
      <c r="N93" s="158">
        <f t="shared" si="84"/>
        <v>2629.95</v>
      </c>
    </row>
    <row r="94" spans="1:15" s="13" customFormat="1" ht="15" customHeight="1" x14ac:dyDescent="0.2">
      <c r="A94" s="40"/>
      <c r="B94" s="90" t="s">
        <v>9</v>
      </c>
      <c r="C94" s="114">
        <f t="shared" ref="C94:N94" si="85">C85</f>
        <v>224.61</v>
      </c>
      <c r="D94" s="114">
        <f t="shared" si="85"/>
        <v>224.61</v>
      </c>
      <c r="E94" s="115">
        <f t="shared" si="85"/>
        <v>224.61</v>
      </c>
      <c r="F94" s="115">
        <f t="shared" si="85"/>
        <v>224.61</v>
      </c>
      <c r="G94" s="121">
        <f t="shared" si="85"/>
        <v>224.61</v>
      </c>
      <c r="H94" s="115">
        <f t="shared" si="85"/>
        <v>224.61</v>
      </c>
      <c r="I94" s="115">
        <f t="shared" si="85"/>
        <v>224.61</v>
      </c>
      <c r="J94" s="115">
        <f t="shared" si="85"/>
        <v>224.61</v>
      </c>
      <c r="K94" s="115">
        <f t="shared" si="85"/>
        <v>224.61</v>
      </c>
      <c r="L94" s="115">
        <f t="shared" si="85"/>
        <v>375.09</v>
      </c>
      <c r="M94" s="115">
        <f t="shared" si="85"/>
        <v>375.09</v>
      </c>
      <c r="N94" s="122">
        <f t="shared" si="85"/>
        <v>375.09</v>
      </c>
    </row>
    <row r="95" spans="1:15" s="13" customFormat="1" ht="15" customHeight="1" x14ac:dyDescent="0.2">
      <c r="A95" s="81"/>
      <c r="B95" s="91" t="s">
        <v>42</v>
      </c>
      <c r="C95" s="106">
        <f>C86</f>
        <v>5.3629999999999995</v>
      </c>
      <c r="D95" s="106">
        <f t="shared" ref="D95:N95" si="86">D86</f>
        <v>5.3629999999999995</v>
      </c>
      <c r="E95" s="107">
        <f t="shared" si="86"/>
        <v>5.3629999999999995</v>
      </c>
      <c r="F95" s="107">
        <f t="shared" si="86"/>
        <v>5.3629999999999995</v>
      </c>
      <c r="G95" s="108">
        <f t="shared" si="86"/>
        <v>5.3629999999999995</v>
      </c>
      <c r="H95" s="106">
        <f t="shared" si="86"/>
        <v>5.3629999999999995</v>
      </c>
      <c r="I95" s="106">
        <f t="shared" si="86"/>
        <v>5.3629999999999995</v>
      </c>
      <c r="J95" s="106">
        <f t="shared" si="86"/>
        <v>5.3629999999999995</v>
      </c>
      <c r="K95" s="106">
        <f t="shared" si="86"/>
        <v>5.3629999999999995</v>
      </c>
      <c r="L95" s="106">
        <f t="shared" si="86"/>
        <v>6.1235300365250511</v>
      </c>
      <c r="M95" s="106">
        <f t="shared" si="86"/>
        <v>6.1235300365250511</v>
      </c>
      <c r="N95" s="109">
        <f t="shared" si="86"/>
        <v>6.1235300365250511</v>
      </c>
    </row>
    <row r="96" spans="1:15" s="13" customFormat="1" ht="25.5" x14ac:dyDescent="0.2">
      <c r="A96" s="81"/>
      <c r="B96" s="87" t="s">
        <v>118</v>
      </c>
      <c r="C96" s="118">
        <f>SUM(C97:C98)</f>
        <v>1063691.4400000002</v>
      </c>
      <c r="D96" s="118">
        <f t="shared" ref="D96" si="87">SUM(D97:D98)</f>
        <v>1007002.78</v>
      </c>
      <c r="E96" s="126">
        <f t="shared" ref="E96" si="88">SUM(E97:E98)</f>
        <v>1062450.8899999999</v>
      </c>
      <c r="F96" s="126">
        <f t="shared" ref="F96" si="89">SUM(F97:F98)</f>
        <v>1056190.19</v>
      </c>
      <c r="G96" s="118">
        <f t="shared" ref="G96" si="90">SUM(G97:G98)</f>
        <v>1227142.22</v>
      </c>
      <c r="H96" s="118">
        <f t="shared" ref="H96" si="91">SUM(H97:H98)</f>
        <v>1197387.5999999999</v>
      </c>
      <c r="I96" s="118">
        <f t="shared" ref="I96" si="92">SUM(I97:I98)</f>
        <v>1200392.96</v>
      </c>
      <c r="J96" s="118">
        <f t="shared" ref="J96" si="93">SUM(J97:J98)</f>
        <v>1192228.79</v>
      </c>
      <c r="K96" s="118">
        <f t="shared" ref="K96" si="94">SUM(K97:K98)</f>
        <v>1192669.18</v>
      </c>
      <c r="L96" s="118">
        <f t="shared" ref="L96" si="95">SUM(L97:L98)</f>
        <v>1225813.8399999999</v>
      </c>
      <c r="M96" s="118">
        <f t="shared" ref="M96" si="96">SUM(M97:M98)</f>
        <v>1234126.6700000002</v>
      </c>
      <c r="N96" s="127">
        <f t="shared" ref="N96" si="97">SUM(N97:N98)</f>
        <v>1233361.28</v>
      </c>
    </row>
    <row r="97" spans="1:15" s="13" customFormat="1" ht="25.5" x14ac:dyDescent="0.2">
      <c r="A97" s="81"/>
      <c r="B97" s="91" t="s">
        <v>116</v>
      </c>
      <c r="C97" s="179">
        <v>850.58</v>
      </c>
      <c r="D97" s="179">
        <v>1150.1400000000001</v>
      </c>
      <c r="E97" s="180">
        <v>1178.98</v>
      </c>
      <c r="F97" s="180">
        <v>1377.28</v>
      </c>
      <c r="G97" s="181">
        <v>1386.94</v>
      </c>
      <c r="H97" s="179">
        <v>1354.18</v>
      </c>
      <c r="I97" s="179">
        <v>1251.6600000000001</v>
      </c>
      <c r="J97" s="179">
        <v>1551.11</v>
      </c>
      <c r="K97" s="179">
        <v>1608.71</v>
      </c>
      <c r="L97" s="179">
        <v>1250.6400000000001</v>
      </c>
      <c r="M97" s="179">
        <v>1067.3599999999999</v>
      </c>
      <c r="N97" s="185">
        <v>1060.92</v>
      </c>
    </row>
    <row r="98" spans="1:15" s="13" customFormat="1" ht="26.25" thickBot="1" x14ac:dyDescent="0.25">
      <c r="A98" s="32"/>
      <c r="B98" s="186" t="s">
        <v>117</v>
      </c>
      <c r="C98" s="187">
        <v>1062840.8600000001</v>
      </c>
      <c r="D98" s="187">
        <v>1005852.64</v>
      </c>
      <c r="E98" s="100">
        <v>1061271.9099999999</v>
      </c>
      <c r="F98" s="100">
        <v>1054812.9099999999</v>
      </c>
      <c r="G98" s="187">
        <v>1225755.28</v>
      </c>
      <c r="H98" s="187">
        <v>1196033.42</v>
      </c>
      <c r="I98" s="187">
        <v>1199141.3</v>
      </c>
      <c r="J98" s="187">
        <v>1190677.68</v>
      </c>
      <c r="K98" s="187">
        <v>1191060.47</v>
      </c>
      <c r="L98" s="187">
        <v>1224563.2</v>
      </c>
      <c r="M98" s="187">
        <v>1233059.31</v>
      </c>
      <c r="N98" s="188">
        <v>1232300.3600000001</v>
      </c>
    </row>
    <row r="99" spans="1:15" ht="15" customHeight="1" x14ac:dyDescent="0.2"/>
    <row r="100" spans="1:15" ht="15" customHeight="1" x14ac:dyDescent="0.2"/>
    <row r="101" spans="1:15" ht="93" customHeight="1" x14ac:dyDescent="0.2">
      <c r="A101" s="200" t="s">
        <v>114</v>
      </c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69"/>
    </row>
    <row r="102" spans="1:15" ht="30" customHeight="1" x14ac:dyDescent="0.2">
      <c r="A102" s="199" t="s">
        <v>115</v>
      </c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</row>
  </sheetData>
  <mergeCells count="11">
    <mergeCell ref="D34:N34"/>
    <mergeCell ref="D57:N57"/>
    <mergeCell ref="D80:N80"/>
    <mergeCell ref="A101:N101"/>
    <mergeCell ref="A102:N102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7409" r:id="rId4">
          <objectPr defaultSize="0" autoPict="0" r:id="rId5">
            <anchor moveWithCells="1" sizeWithCells="1">
              <from>
                <xdr:col>1</xdr:col>
                <xdr:colOff>0</xdr:colOff>
                <xdr:row>99</xdr:row>
                <xdr:rowOff>0</xdr:rowOff>
              </from>
              <to>
                <xdr:col>1</xdr:col>
                <xdr:colOff>142875</xdr:colOff>
                <xdr:row>99</xdr:row>
                <xdr:rowOff>0</xdr:rowOff>
              </to>
            </anchor>
          </objectPr>
        </oleObject>
      </mc:Choice>
      <mc:Fallback>
        <oleObject progId="Equation.3" shapeId="17409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>
    <tabColor rgb="FF00FF99"/>
  </sheetPr>
  <dimension ref="A1:O9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58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5" s="58" customFormat="1" ht="34.5" customHeight="1" x14ac:dyDescent="0.25">
      <c r="A7" s="206" t="s">
        <v>60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43"/>
      <c r="C8" s="43"/>
      <c r="D8" s="43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85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70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3.5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5.75" customHeight="1" x14ac:dyDescent="0.2">
      <c r="A13" s="80"/>
      <c r="B13" s="86" t="s">
        <v>61</v>
      </c>
      <c r="C13" s="155">
        <f>SUM(C14:C17)</f>
        <v>3657.6029999999996</v>
      </c>
      <c r="D13" s="155">
        <f t="shared" ref="D13:N13" si="0">SUM(D14:D17)</f>
        <v>3854.6829999999995</v>
      </c>
      <c r="E13" s="156">
        <f t="shared" si="0"/>
        <v>3863.3529999999996</v>
      </c>
      <c r="F13" s="156">
        <f t="shared" si="0"/>
        <v>3827.6829999999995</v>
      </c>
      <c r="G13" s="156">
        <f t="shared" si="0"/>
        <v>3805.453</v>
      </c>
      <c r="H13" s="156">
        <f t="shared" si="0"/>
        <v>3816.4829999999997</v>
      </c>
      <c r="I13" s="156">
        <f t="shared" si="0"/>
        <v>4072.1529999999998</v>
      </c>
      <c r="J13" s="156">
        <f t="shared" si="0"/>
        <v>4098.7130000000006</v>
      </c>
      <c r="K13" s="156">
        <f t="shared" si="0"/>
        <v>4047.4630000000002</v>
      </c>
      <c r="L13" s="156">
        <f t="shared" si="0"/>
        <v>4359.993530036525</v>
      </c>
      <c r="M13" s="156">
        <f t="shared" si="0"/>
        <v>4412.8735300365252</v>
      </c>
      <c r="N13" s="156">
        <f t="shared" si="0"/>
        <v>4364.0135300365246</v>
      </c>
      <c r="O13" s="61"/>
    </row>
    <row r="14" spans="1:15" s="13" customFormat="1" ht="15" customHeight="1" x14ac:dyDescent="0.2">
      <c r="A14" s="29"/>
      <c r="B14" s="89" t="s">
        <v>101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8</v>
      </c>
      <c r="C15" s="146">
        <v>1283.6600000000001</v>
      </c>
      <c r="D15" s="146">
        <v>1283.6600000000001</v>
      </c>
      <c r="E15" s="99">
        <v>1283.6600000000001</v>
      </c>
      <c r="F15" s="99">
        <v>1283.6600000000001</v>
      </c>
      <c r="G15" s="147">
        <v>1283.6600000000001</v>
      </c>
      <c r="H15" s="146">
        <v>1283.6600000000001</v>
      </c>
      <c r="I15" s="146">
        <v>1283.6600000000001</v>
      </c>
      <c r="J15" s="146">
        <v>1283.6600000000001</v>
      </c>
      <c r="K15" s="146">
        <v>1283.6600000000001</v>
      </c>
      <c r="L15" s="146">
        <v>1478.78</v>
      </c>
      <c r="M15" s="146">
        <v>1478.78</v>
      </c>
      <c r="N15" s="148">
        <v>1478.78</v>
      </c>
      <c r="O15" s="61"/>
    </row>
    <row r="16" spans="1:15" s="13" customFormat="1" ht="15" customHeight="1" x14ac:dyDescent="0.2">
      <c r="A16" s="29"/>
      <c r="B16" s="89" t="s">
        <v>9</v>
      </c>
      <c r="C16" s="114">
        <v>177.82999999999998</v>
      </c>
      <c r="D16" s="114">
        <v>177.82999999999998</v>
      </c>
      <c r="E16" s="115">
        <v>177.82999999999998</v>
      </c>
      <c r="F16" s="115">
        <v>177.82999999999998</v>
      </c>
      <c r="G16" s="116">
        <v>177.82999999999998</v>
      </c>
      <c r="H16" s="114">
        <v>177.82999999999998</v>
      </c>
      <c r="I16" s="114">
        <v>177.82999999999998</v>
      </c>
      <c r="J16" s="114">
        <v>177.82999999999998</v>
      </c>
      <c r="K16" s="114">
        <v>177.82999999999998</v>
      </c>
      <c r="L16" s="114">
        <v>249.16</v>
      </c>
      <c r="M16" s="114">
        <v>249.16</v>
      </c>
      <c r="N16" s="117">
        <v>249.16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178"/>
      <c r="B18" s="87" t="s">
        <v>118</v>
      </c>
      <c r="C18" s="118">
        <f>SUM(C19:C20)</f>
        <v>1063691.4400000002</v>
      </c>
      <c r="D18" s="118">
        <f t="shared" ref="D18:N18" si="1">SUM(D19:D20)</f>
        <v>1007002.78</v>
      </c>
      <c r="E18" s="126">
        <f t="shared" si="1"/>
        <v>1062450.8899999999</v>
      </c>
      <c r="F18" s="126">
        <f t="shared" si="1"/>
        <v>1056190.19</v>
      </c>
      <c r="G18" s="118">
        <f t="shared" si="1"/>
        <v>1227142.22</v>
      </c>
      <c r="H18" s="118">
        <f t="shared" si="1"/>
        <v>1197387.5999999999</v>
      </c>
      <c r="I18" s="118">
        <f t="shared" si="1"/>
        <v>1200392.96</v>
      </c>
      <c r="J18" s="118">
        <f t="shared" si="1"/>
        <v>1192228.79</v>
      </c>
      <c r="K18" s="118">
        <f t="shared" si="1"/>
        <v>1192669.18</v>
      </c>
      <c r="L18" s="118">
        <f t="shared" si="1"/>
        <v>1225813.8399999999</v>
      </c>
      <c r="M18" s="118">
        <f t="shared" si="1"/>
        <v>1234126.6700000002</v>
      </c>
      <c r="N18" s="127">
        <f t="shared" si="1"/>
        <v>1233361.28</v>
      </c>
      <c r="O18" s="61"/>
    </row>
    <row r="19" spans="1:15" s="13" customFormat="1" ht="25.5" x14ac:dyDescent="0.2">
      <c r="A19" s="178"/>
      <c r="B19" s="91" t="s">
        <v>116</v>
      </c>
      <c r="C19" s="101">
        <v>850.58</v>
      </c>
      <c r="D19" s="101">
        <v>1150.1400000000001</v>
      </c>
      <c r="E19" s="102">
        <v>1178.98</v>
      </c>
      <c r="F19" s="102">
        <v>1377.28</v>
      </c>
      <c r="G19" s="157">
        <v>1386.94</v>
      </c>
      <c r="H19" s="101">
        <v>1354.18</v>
      </c>
      <c r="I19" s="101">
        <v>1251.6600000000001</v>
      </c>
      <c r="J19" s="101">
        <v>1551.11</v>
      </c>
      <c r="K19" s="101">
        <v>1608.71</v>
      </c>
      <c r="L19" s="101">
        <v>1250.6400000000001</v>
      </c>
      <c r="M19" s="101">
        <v>1067.3599999999999</v>
      </c>
      <c r="N19" s="158">
        <v>1060.92</v>
      </c>
      <c r="O19" s="61"/>
    </row>
    <row r="20" spans="1:15" s="13" customFormat="1" ht="26.25" thickBot="1" x14ac:dyDescent="0.25">
      <c r="A20" s="82"/>
      <c r="B20" s="186" t="s">
        <v>117</v>
      </c>
      <c r="C20" s="187">
        <v>1062840.8600000001</v>
      </c>
      <c r="D20" s="187">
        <v>1005852.64</v>
      </c>
      <c r="E20" s="100">
        <v>1061271.9099999999</v>
      </c>
      <c r="F20" s="100">
        <v>1054812.9099999999</v>
      </c>
      <c r="G20" s="192">
        <v>1225755.28</v>
      </c>
      <c r="H20" s="187">
        <v>1196033.42</v>
      </c>
      <c r="I20" s="187">
        <v>1199141.3</v>
      </c>
      <c r="J20" s="187">
        <v>1190677.68</v>
      </c>
      <c r="K20" s="187">
        <v>1191060.47</v>
      </c>
      <c r="L20" s="187">
        <v>1224563.2</v>
      </c>
      <c r="M20" s="187">
        <v>1233059.31</v>
      </c>
      <c r="N20" s="188">
        <v>1232300.3600000001</v>
      </c>
      <c r="O20" s="61"/>
    </row>
    <row r="21" spans="1:15" s="13" customFormat="1" ht="26.25" customHeight="1" thickBot="1" x14ac:dyDescent="0.25">
      <c r="A21" s="36" t="s">
        <v>10</v>
      </c>
      <c r="B21" s="37" t="s">
        <v>11</v>
      </c>
      <c r="C21" s="20"/>
      <c r="D21" s="20"/>
      <c r="E21" s="21"/>
      <c r="F21" s="21"/>
      <c r="G21" s="66"/>
      <c r="H21" s="20"/>
      <c r="I21" s="20"/>
      <c r="J21" s="20"/>
      <c r="K21" s="20"/>
      <c r="L21" s="20"/>
      <c r="M21" s="20"/>
      <c r="N21" s="55"/>
      <c r="O21" s="61"/>
    </row>
    <row r="22" spans="1:15" s="13" customFormat="1" ht="14.25" customHeight="1" x14ac:dyDescent="0.2">
      <c r="A22" s="85"/>
      <c r="B22" s="88" t="s">
        <v>61</v>
      </c>
      <c r="C22" s="159">
        <f>SUM(C23:C25)</f>
        <v>2373.9429999999998</v>
      </c>
      <c r="D22" s="159">
        <f t="shared" ref="D22:N22" si="2">SUM(D23:D25)</f>
        <v>2571.0229999999997</v>
      </c>
      <c r="E22" s="160">
        <f t="shared" si="2"/>
        <v>2579.6929999999998</v>
      </c>
      <c r="F22" s="160">
        <f t="shared" si="2"/>
        <v>2544.0229999999997</v>
      </c>
      <c r="G22" s="160">
        <f t="shared" si="2"/>
        <v>2521.7929999999997</v>
      </c>
      <c r="H22" s="160">
        <f t="shared" si="2"/>
        <v>2532.8229999999999</v>
      </c>
      <c r="I22" s="160">
        <f t="shared" si="2"/>
        <v>2788.4929999999999</v>
      </c>
      <c r="J22" s="160">
        <f t="shared" si="2"/>
        <v>2815.0529999999999</v>
      </c>
      <c r="K22" s="160">
        <f t="shared" si="2"/>
        <v>2763.8029999999999</v>
      </c>
      <c r="L22" s="160">
        <f t="shared" si="2"/>
        <v>2881.2135300365248</v>
      </c>
      <c r="M22" s="160">
        <f t="shared" si="2"/>
        <v>2934.093530036525</v>
      </c>
      <c r="N22" s="161">
        <f t="shared" si="2"/>
        <v>2885.2335300365248</v>
      </c>
      <c r="O22" s="61"/>
    </row>
    <row r="23" spans="1:15" s="13" customFormat="1" ht="15" customHeight="1" x14ac:dyDescent="0.2">
      <c r="A23" s="25"/>
      <c r="B23" s="89" t="s">
        <v>101</v>
      </c>
      <c r="C23" s="101">
        <f t="shared" ref="C23:N23" si="3">C14</f>
        <v>2190.75</v>
      </c>
      <c r="D23" s="101">
        <f t="shared" si="3"/>
        <v>2387.83</v>
      </c>
      <c r="E23" s="102">
        <f t="shared" si="3"/>
        <v>2396.5</v>
      </c>
      <c r="F23" s="102">
        <f t="shared" si="3"/>
        <v>2360.83</v>
      </c>
      <c r="G23" s="157">
        <f t="shared" si="3"/>
        <v>2338.6</v>
      </c>
      <c r="H23" s="101">
        <f t="shared" si="3"/>
        <v>2349.63</v>
      </c>
      <c r="I23" s="101">
        <f t="shared" si="3"/>
        <v>2605.3000000000002</v>
      </c>
      <c r="J23" s="101">
        <f t="shared" si="3"/>
        <v>2631.86</v>
      </c>
      <c r="K23" s="101">
        <f t="shared" si="3"/>
        <v>2580.61</v>
      </c>
      <c r="L23" s="101">
        <f t="shared" si="3"/>
        <v>2625.93</v>
      </c>
      <c r="M23" s="101">
        <f t="shared" si="3"/>
        <v>2678.81</v>
      </c>
      <c r="N23" s="158">
        <f t="shared" si="3"/>
        <v>2629.95</v>
      </c>
    </row>
    <row r="24" spans="1:15" s="13" customFormat="1" ht="15" customHeight="1" x14ac:dyDescent="0.2">
      <c r="A24" s="40"/>
      <c r="B24" s="90" t="s">
        <v>9</v>
      </c>
      <c r="C24" s="114">
        <f t="shared" ref="C24:N24" si="4">C16</f>
        <v>177.82999999999998</v>
      </c>
      <c r="D24" s="114">
        <f t="shared" si="4"/>
        <v>177.82999999999998</v>
      </c>
      <c r="E24" s="115">
        <f t="shared" si="4"/>
        <v>177.82999999999998</v>
      </c>
      <c r="F24" s="115">
        <f t="shared" si="4"/>
        <v>177.82999999999998</v>
      </c>
      <c r="G24" s="121">
        <f t="shared" si="4"/>
        <v>177.82999999999998</v>
      </c>
      <c r="H24" s="115">
        <f t="shared" si="4"/>
        <v>177.82999999999998</v>
      </c>
      <c r="I24" s="115">
        <f t="shared" si="4"/>
        <v>177.82999999999998</v>
      </c>
      <c r="J24" s="115">
        <f t="shared" si="4"/>
        <v>177.82999999999998</v>
      </c>
      <c r="K24" s="115">
        <f t="shared" si="4"/>
        <v>177.82999999999998</v>
      </c>
      <c r="L24" s="115">
        <f t="shared" si="4"/>
        <v>249.16</v>
      </c>
      <c r="M24" s="115">
        <f t="shared" si="4"/>
        <v>249.16</v>
      </c>
      <c r="N24" s="122">
        <f t="shared" si="4"/>
        <v>249.16</v>
      </c>
    </row>
    <row r="25" spans="1:15" s="13" customFormat="1" ht="15" customHeight="1" x14ac:dyDescent="0.2">
      <c r="A25" s="81"/>
      <c r="B25" s="91" t="s">
        <v>42</v>
      </c>
      <c r="C25" s="106">
        <f t="shared" ref="C25:N25" si="5">C17</f>
        <v>5.3629999999999995</v>
      </c>
      <c r="D25" s="106">
        <f t="shared" si="5"/>
        <v>5.3629999999999995</v>
      </c>
      <c r="E25" s="107">
        <f t="shared" si="5"/>
        <v>5.3629999999999995</v>
      </c>
      <c r="F25" s="107">
        <f t="shared" si="5"/>
        <v>5.3629999999999995</v>
      </c>
      <c r="G25" s="108">
        <f t="shared" si="5"/>
        <v>5.3629999999999995</v>
      </c>
      <c r="H25" s="106">
        <f t="shared" si="5"/>
        <v>5.3629999999999995</v>
      </c>
      <c r="I25" s="106">
        <f t="shared" si="5"/>
        <v>5.3629999999999995</v>
      </c>
      <c r="J25" s="106">
        <f t="shared" si="5"/>
        <v>5.3629999999999995</v>
      </c>
      <c r="K25" s="106">
        <f t="shared" si="5"/>
        <v>5.3629999999999995</v>
      </c>
      <c r="L25" s="106">
        <f t="shared" si="5"/>
        <v>6.1235300365250511</v>
      </c>
      <c r="M25" s="106">
        <f t="shared" si="5"/>
        <v>6.1235300365250511</v>
      </c>
      <c r="N25" s="109">
        <f t="shared" si="5"/>
        <v>6.1235300365250511</v>
      </c>
    </row>
    <row r="26" spans="1:15" s="13" customFormat="1" ht="25.5" x14ac:dyDescent="0.2">
      <c r="A26" s="81"/>
      <c r="B26" s="87" t="s">
        <v>118</v>
      </c>
      <c r="C26" s="118">
        <f>SUM(C27:C28)</f>
        <v>1063691.4400000002</v>
      </c>
      <c r="D26" s="118">
        <f t="shared" ref="D26" si="6">SUM(D27:D28)</f>
        <v>1007002.78</v>
      </c>
      <c r="E26" s="126">
        <f t="shared" ref="E26" si="7">SUM(E27:E28)</f>
        <v>1062450.8899999999</v>
      </c>
      <c r="F26" s="126">
        <f t="shared" ref="F26" si="8">SUM(F27:F28)</f>
        <v>1056190.19</v>
      </c>
      <c r="G26" s="118">
        <f t="shared" ref="G26" si="9">SUM(G27:G28)</f>
        <v>1227142.22</v>
      </c>
      <c r="H26" s="118">
        <f t="shared" ref="H26" si="10">SUM(H27:H28)</f>
        <v>1197387.5999999999</v>
      </c>
      <c r="I26" s="118">
        <f t="shared" ref="I26" si="11">SUM(I27:I28)</f>
        <v>1200392.96</v>
      </c>
      <c r="J26" s="118">
        <f t="shared" ref="J26" si="12">SUM(J27:J28)</f>
        <v>1192228.79</v>
      </c>
      <c r="K26" s="118">
        <f t="shared" ref="K26" si="13">SUM(K27:K28)</f>
        <v>1192669.18</v>
      </c>
      <c r="L26" s="118">
        <f t="shared" ref="L26" si="14">SUM(L27:L28)</f>
        <v>1225813.8399999999</v>
      </c>
      <c r="M26" s="118">
        <f t="shared" ref="M26" si="15">SUM(M27:M28)</f>
        <v>1234126.6700000002</v>
      </c>
      <c r="N26" s="127">
        <f t="shared" ref="N26" si="16">SUM(N27:N28)</f>
        <v>1233361.28</v>
      </c>
    </row>
    <row r="27" spans="1:15" s="13" customFormat="1" ht="25.5" x14ac:dyDescent="0.2">
      <c r="A27" s="81"/>
      <c r="B27" s="91" t="s">
        <v>116</v>
      </c>
      <c r="C27" s="101">
        <v>850.58</v>
      </c>
      <c r="D27" s="101">
        <v>1150.1400000000001</v>
      </c>
      <c r="E27" s="102">
        <v>1178.98</v>
      </c>
      <c r="F27" s="102">
        <v>1377.28</v>
      </c>
      <c r="G27" s="157">
        <v>1386.94</v>
      </c>
      <c r="H27" s="101">
        <v>1354.18</v>
      </c>
      <c r="I27" s="101">
        <v>1251.6600000000001</v>
      </c>
      <c r="J27" s="101">
        <v>1551.11</v>
      </c>
      <c r="K27" s="101">
        <v>1608.71</v>
      </c>
      <c r="L27" s="101">
        <v>1250.6400000000001</v>
      </c>
      <c r="M27" s="101">
        <v>1067.3599999999999</v>
      </c>
      <c r="N27" s="158">
        <v>1060.92</v>
      </c>
    </row>
    <row r="28" spans="1:15" s="13" customFormat="1" ht="26.25" thickBot="1" x14ac:dyDescent="0.25">
      <c r="A28" s="32"/>
      <c r="B28" s="186" t="s">
        <v>117</v>
      </c>
      <c r="C28" s="187">
        <v>1062840.8600000001</v>
      </c>
      <c r="D28" s="187">
        <v>1005852.64</v>
      </c>
      <c r="E28" s="100">
        <v>1061271.9099999999</v>
      </c>
      <c r="F28" s="100">
        <v>1054812.9099999999</v>
      </c>
      <c r="G28" s="192">
        <v>1225755.28</v>
      </c>
      <c r="H28" s="187">
        <v>1196033.42</v>
      </c>
      <c r="I28" s="187">
        <v>1199141.3</v>
      </c>
      <c r="J28" s="187">
        <v>1190677.68</v>
      </c>
      <c r="K28" s="187">
        <v>1191060.47</v>
      </c>
      <c r="L28" s="187">
        <v>1224563.2</v>
      </c>
      <c r="M28" s="187">
        <v>1233059.31</v>
      </c>
      <c r="N28" s="188">
        <v>1232300.3600000001</v>
      </c>
    </row>
    <row r="29" spans="1:15" ht="15" customHeight="1" x14ac:dyDescent="0.2"/>
    <row r="30" spans="1:15" ht="15" customHeight="1" x14ac:dyDescent="0.2"/>
    <row r="31" spans="1:15" s="59" customFormat="1" ht="21" customHeight="1" thickBot="1" x14ac:dyDescent="0.25">
      <c r="A31" s="7" t="s">
        <v>84</v>
      </c>
      <c r="B31" s="7"/>
      <c r="C31" s="7"/>
      <c r="D31" s="7"/>
      <c r="E31" s="7"/>
      <c r="F31" s="7"/>
      <c r="G31" s="5"/>
      <c r="H31" s="5"/>
      <c r="I31" s="5"/>
      <c r="J31" s="5"/>
      <c r="K31" s="5"/>
      <c r="L31" s="6"/>
      <c r="M31" s="6"/>
      <c r="N31" s="6"/>
    </row>
    <row r="32" spans="1:15" s="13" customFormat="1" ht="24" customHeight="1" thickBot="1" x14ac:dyDescent="0.25">
      <c r="A32" s="49" t="s">
        <v>0</v>
      </c>
      <c r="B32" s="50" t="s">
        <v>1</v>
      </c>
      <c r="C32" s="51" t="s">
        <v>17</v>
      </c>
      <c r="D32" s="51" t="s">
        <v>18</v>
      </c>
      <c r="E32" s="51" t="s">
        <v>19</v>
      </c>
      <c r="F32" s="51" t="s">
        <v>20</v>
      </c>
      <c r="G32" s="51" t="s">
        <v>21</v>
      </c>
      <c r="H32" s="51" t="s">
        <v>22</v>
      </c>
      <c r="I32" s="51" t="s">
        <v>23</v>
      </c>
      <c r="J32" s="51" t="s">
        <v>24</v>
      </c>
      <c r="K32" s="51" t="s">
        <v>25</v>
      </c>
      <c r="L32" s="51" t="s">
        <v>26</v>
      </c>
      <c r="M32" s="51" t="s">
        <v>27</v>
      </c>
      <c r="N32" s="52" t="s">
        <v>28</v>
      </c>
    </row>
    <row r="33" spans="1:15" s="17" customFormat="1" ht="21" customHeight="1" thickBot="1" x14ac:dyDescent="0.25">
      <c r="A33" s="14" t="s">
        <v>14</v>
      </c>
      <c r="B33" s="15" t="s">
        <v>5</v>
      </c>
      <c r="C33" s="70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2"/>
      <c r="O33" s="44"/>
    </row>
    <row r="34" spans="1:15" s="17" customFormat="1" ht="13.5" thickBot="1" x14ac:dyDescent="0.25">
      <c r="A34" s="18" t="s">
        <v>15</v>
      </c>
      <c r="B34" s="78" t="s">
        <v>7</v>
      </c>
      <c r="C34" s="20"/>
      <c r="D34" s="20"/>
      <c r="E34" s="21"/>
      <c r="F34" s="21"/>
      <c r="G34" s="63"/>
      <c r="H34" s="21"/>
      <c r="I34" s="21"/>
      <c r="J34" s="21"/>
      <c r="K34" s="21"/>
      <c r="L34" s="21"/>
      <c r="M34" s="21"/>
      <c r="N34" s="22"/>
      <c r="O34" s="61"/>
    </row>
    <row r="35" spans="1:15" s="13" customFormat="1" ht="15" customHeight="1" x14ac:dyDescent="0.2">
      <c r="A35" s="80"/>
      <c r="B35" s="86" t="s">
        <v>61</v>
      </c>
      <c r="C35" s="155">
        <f>SUM(C36:C39)</f>
        <v>4447.5330000000004</v>
      </c>
      <c r="D35" s="155">
        <f t="shared" ref="D35:N35" si="17">SUM(D36:D39)</f>
        <v>4644.6130000000003</v>
      </c>
      <c r="E35" s="156">
        <f t="shared" si="17"/>
        <v>4653.2830000000004</v>
      </c>
      <c r="F35" s="156">
        <f t="shared" si="17"/>
        <v>4617.6130000000003</v>
      </c>
      <c r="G35" s="156">
        <f t="shared" si="17"/>
        <v>4595.3830000000007</v>
      </c>
      <c r="H35" s="156">
        <f t="shared" si="17"/>
        <v>4606.4130000000005</v>
      </c>
      <c r="I35" s="156">
        <f t="shared" si="17"/>
        <v>4862.0830000000005</v>
      </c>
      <c r="J35" s="156">
        <f t="shared" si="17"/>
        <v>4888.6430000000009</v>
      </c>
      <c r="K35" s="156">
        <f t="shared" si="17"/>
        <v>4837.3930000000009</v>
      </c>
      <c r="L35" s="156">
        <f t="shared" si="17"/>
        <v>5269.993530036525</v>
      </c>
      <c r="M35" s="156">
        <f t="shared" si="17"/>
        <v>5322.8735300365252</v>
      </c>
      <c r="N35" s="156">
        <f t="shared" si="17"/>
        <v>5274.0135300365246</v>
      </c>
      <c r="O35" s="61"/>
    </row>
    <row r="36" spans="1:15" s="13" customFormat="1" ht="15" customHeight="1" x14ac:dyDescent="0.2">
      <c r="A36" s="29"/>
      <c r="B36" s="89" t="s">
        <v>101</v>
      </c>
      <c r="C36" s="101">
        <v>2190.75</v>
      </c>
      <c r="D36" s="101">
        <v>2387.83</v>
      </c>
      <c r="E36" s="102">
        <v>2396.5</v>
      </c>
      <c r="F36" s="102">
        <v>2360.83</v>
      </c>
      <c r="G36" s="157">
        <v>2338.6</v>
      </c>
      <c r="H36" s="101">
        <v>2349.63</v>
      </c>
      <c r="I36" s="101">
        <v>2605.3000000000002</v>
      </c>
      <c r="J36" s="101">
        <v>2631.86</v>
      </c>
      <c r="K36" s="101">
        <v>2580.61</v>
      </c>
      <c r="L36" s="101">
        <v>2625.93</v>
      </c>
      <c r="M36" s="101">
        <v>2678.81</v>
      </c>
      <c r="N36" s="158">
        <v>2629.95</v>
      </c>
      <c r="O36" s="61"/>
    </row>
    <row r="37" spans="1:15" s="13" customFormat="1" ht="15" customHeight="1" x14ac:dyDescent="0.2">
      <c r="A37" s="25"/>
      <c r="B37" s="90" t="s">
        <v>8</v>
      </c>
      <c r="C37" s="146">
        <v>2073.59</v>
      </c>
      <c r="D37" s="146">
        <v>2073.59</v>
      </c>
      <c r="E37" s="99">
        <v>2073.59</v>
      </c>
      <c r="F37" s="99">
        <v>2073.59</v>
      </c>
      <c r="G37" s="147">
        <v>2073.59</v>
      </c>
      <c r="H37" s="146">
        <v>2073.59</v>
      </c>
      <c r="I37" s="146">
        <v>2073.59</v>
      </c>
      <c r="J37" s="146">
        <v>2073.59</v>
      </c>
      <c r="K37" s="146">
        <v>2073.59</v>
      </c>
      <c r="L37" s="146">
        <v>2388.7800000000002</v>
      </c>
      <c r="M37" s="146">
        <v>2388.7800000000002</v>
      </c>
      <c r="N37" s="148">
        <v>2388.7800000000002</v>
      </c>
      <c r="O37" s="61"/>
    </row>
    <row r="38" spans="1:15" s="13" customFormat="1" ht="15" customHeight="1" x14ac:dyDescent="0.2">
      <c r="A38" s="29"/>
      <c r="B38" s="89" t="s">
        <v>9</v>
      </c>
      <c r="C38" s="114">
        <v>177.82999999999998</v>
      </c>
      <c r="D38" s="114">
        <v>177.82999999999998</v>
      </c>
      <c r="E38" s="115">
        <v>177.82999999999998</v>
      </c>
      <c r="F38" s="115">
        <v>177.82999999999998</v>
      </c>
      <c r="G38" s="116">
        <v>177.82999999999998</v>
      </c>
      <c r="H38" s="114">
        <v>177.82999999999998</v>
      </c>
      <c r="I38" s="114">
        <v>177.82999999999998</v>
      </c>
      <c r="J38" s="114">
        <v>177.82999999999998</v>
      </c>
      <c r="K38" s="114">
        <v>177.82999999999998</v>
      </c>
      <c r="L38" s="114">
        <v>249.16</v>
      </c>
      <c r="M38" s="114">
        <v>249.16</v>
      </c>
      <c r="N38" s="117">
        <v>249.16</v>
      </c>
      <c r="O38" s="61"/>
    </row>
    <row r="39" spans="1:15" s="13" customFormat="1" x14ac:dyDescent="0.2">
      <c r="A39" s="81"/>
      <c r="B39" s="91" t="s">
        <v>42</v>
      </c>
      <c r="C39" s="106">
        <v>5.3629999999999995</v>
      </c>
      <c r="D39" s="106">
        <v>5.3629999999999995</v>
      </c>
      <c r="E39" s="107">
        <v>5.3629999999999995</v>
      </c>
      <c r="F39" s="107">
        <v>5.3629999999999995</v>
      </c>
      <c r="G39" s="108">
        <v>5.3629999999999995</v>
      </c>
      <c r="H39" s="106">
        <v>5.3629999999999995</v>
      </c>
      <c r="I39" s="106">
        <v>5.3629999999999995</v>
      </c>
      <c r="J39" s="106">
        <v>5.3629999999999995</v>
      </c>
      <c r="K39" s="106">
        <v>5.3629999999999995</v>
      </c>
      <c r="L39" s="106">
        <v>6.1235300365250511</v>
      </c>
      <c r="M39" s="106">
        <v>6.1235300365250511</v>
      </c>
      <c r="N39" s="109">
        <v>6.1235300365250511</v>
      </c>
      <c r="O39" s="61"/>
    </row>
    <row r="40" spans="1:15" s="13" customFormat="1" ht="25.5" x14ac:dyDescent="0.2">
      <c r="A40" s="178"/>
      <c r="B40" s="87" t="s">
        <v>118</v>
      </c>
      <c r="C40" s="118">
        <f>SUM(C41:C42)</f>
        <v>1063691.4400000002</v>
      </c>
      <c r="D40" s="118">
        <f t="shared" ref="D40" si="18">SUM(D41:D42)</f>
        <v>1007002.78</v>
      </c>
      <c r="E40" s="126">
        <f t="shared" ref="E40" si="19">SUM(E41:E42)</f>
        <v>1062450.8899999999</v>
      </c>
      <c r="F40" s="126">
        <f t="shared" ref="F40" si="20">SUM(F41:F42)</f>
        <v>1056190.19</v>
      </c>
      <c r="G40" s="118">
        <f t="shared" ref="G40" si="21">SUM(G41:G42)</f>
        <v>1227142.22</v>
      </c>
      <c r="H40" s="118">
        <f t="shared" ref="H40" si="22">SUM(H41:H42)</f>
        <v>1197387.5999999999</v>
      </c>
      <c r="I40" s="118">
        <f t="shared" ref="I40" si="23">SUM(I41:I42)</f>
        <v>1200392.96</v>
      </c>
      <c r="J40" s="118">
        <f t="shared" ref="J40" si="24">SUM(J41:J42)</f>
        <v>1192228.79</v>
      </c>
      <c r="K40" s="118">
        <f t="shared" ref="K40" si="25">SUM(K41:K42)</f>
        <v>1192669.18</v>
      </c>
      <c r="L40" s="118">
        <f t="shared" ref="L40" si="26">SUM(L41:L42)</f>
        <v>1225813.8399999999</v>
      </c>
      <c r="M40" s="118">
        <f t="shared" ref="M40" si="27">SUM(M41:M42)</f>
        <v>1234126.6700000002</v>
      </c>
      <c r="N40" s="127">
        <f t="shared" ref="N40" si="28">SUM(N41:N42)</f>
        <v>1233361.28</v>
      </c>
      <c r="O40" s="61"/>
    </row>
    <row r="41" spans="1:15" s="13" customFormat="1" ht="25.5" x14ac:dyDescent="0.2">
      <c r="A41" s="178"/>
      <c r="B41" s="91" t="s">
        <v>116</v>
      </c>
      <c r="C41" s="101">
        <v>850.58</v>
      </c>
      <c r="D41" s="101">
        <v>1150.1400000000001</v>
      </c>
      <c r="E41" s="102">
        <v>1178.98</v>
      </c>
      <c r="F41" s="102">
        <v>1377.28</v>
      </c>
      <c r="G41" s="157">
        <v>1386.94</v>
      </c>
      <c r="H41" s="101">
        <v>1354.18</v>
      </c>
      <c r="I41" s="101">
        <v>1251.6600000000001</v>
      </c>
      <c r="J41" s="101">
        <v>1551.11</v>
      </c>
      <c r="K41" s="101">
        <v>1608.71</v>
      </c>
      <c r="L41" s="101">
        <v>1250.6400000000001</v>
      </c>
      <c r="M41" s="101">
        <v>1067.3599999999999</v>
      </c>
      <c r="N41" s="158">
        <v>1060.92</v>
      </c>
      <c r="O41" s="61"/>
    </row>
    <row r="42" spans="1:15" s="13" customFormat="1" ht="26.25" thickBot="1" x14ac:dyDescent="0.25">
      <c r="A42" s="82"/>
      <c r="B42" s="186" t="s">
        <v>117</v>
      </c>
      <c r="C42" s="187">
        <v>1062840.8600000001</v>
      </c>
      <c r="D42" s="187">
        <v>1005852.64</v>
      </c>
      <c r="E42" s="100">
        <v>1061271.9099999999</v>
      </c>
      <c r="F42" s="100">
        <v>1054812.9099999999</v>
      </c>
      <c r="G42" s="192">
        <v>1225755.28</v>
      </c>
      <c r="H42" s="187">
        <v>1196033.42</v>
      </c>
      <c r="I42" s="187">
        <v>1199141.3</v>
      </c>
      <c r="J42" s="187">
        <v>1190677.68</v>
      </c>
      <c r="K42" s="187">
        <v>1191060.47</v>
      </c>
      <c r="L42" s="187">
        <v>1224563.2</v>
      </c>
      <c r="M42" s="187">
        <v>1233059.31</v>
      </c>
      <c r="N42" s="188">
        <v>1232300.3600000001</v>
      </c>
    </row>
    <row r="43" spans="1:15" s="13" customFormat="1" ht="26.25" thickBot="1" x14ac:dyDescent="0.25">
      <c r="A43" s="36" t="s">
        <v>16</v>
      </c>
      <c r="B43" s="37" t="s">
        <v>11</v>
      </c>
      <c r="C43" s="20"/>
      <c r="D43" s="20"/>
      <c r="E43" s="21"/>
      <c r="F43" s="21"/>
      <c r="G43" s="66"/>
      <c r="H43" s="20"/>
      <c r="I43" s="20"/>
      <c r="J43" s="20"/>
      <c r="K43" s="20"/>
      <c r="L43" s="20"/>
      <c r="M43" s="20"/>
      <c r="N43" s="55"/>
    </row>
    <row r="44" spans="1:15" s="13" customFormat="1" ht="15" customHeight="1" x14ac:dyDescent="0.2">
      <c r="A44" s="85"/>
      <c r="B44" s="88" t="s">
        <v>61</v>
      </c>
      <c r="C44" s="159">
        <f>SUM(C45:C47)</f>
        <v>2373.9429999999998</v>
      </c>
      <c r="D44" s="159">
        <f t="shared" ref="D44:N44" si="29">SUM(D45:D47)</f>
        <v>2571.0229999999997</v>
      </c>
      <c r="E44" s="160">
        <f t="shared" si="29"/>
        <v>2579.6929999999998</v>
      </c>
      <c r="F44" s="160">
        <f t="shared" si="29"/>
        <v>2544.0229999999997</v>
      </c>
      <c r="G44" s="160">
        <f t="shared" si="29"/>
        <v>2521.7929999999997</v>
      </c>
      <c r="H44" s="160">
        <f t="shared" si="29"/>
        <v>2532.8229999999999</v>
      </c>
      <c r="I44" s="160">
        <f t="shared" si="29"/>
        <v>2788.4929999999999</v>
      </c>
      <c r="J44" s="160">
        <f t="shared" si="29"/>
        <v>2815.0529999999999</v>
      </c>
      <c r="K44" s="160">
        <f t="shared" si="29"/>
        <v>2763.8029999999999</v>
      </c>
      <c r="L44" s="160">
        <f t="shared" si="29"/>
        <v>2881.2135300365248</v>
      </c>
      <c r="M44" s="160">
        <f t="shared" si="29"/>
        <v>2934.093530036525</v>
      </c>
      <c r="N44" s="161">
        <f t="shared" si="29"/>
        <v>2885.2335300365248</v>
      </c>
    </row>
    <row r="45" spans="1:15" s="13" customFormat="1" ht="15" customHeight="1" x14ac:dyDescent="0.2">
      <c r="A45" s="25"/>
      <c r="B45" s="89" t="s">
        <v>101</v>
      </c>
      <c r="C45" s="101">
        <f t="shared" ref="C45:N45" si="30">C36</f>
        <v>2190.75</v>
      </c>
      <c r="D45" s="101">
        <f t="shared" si="30"/>
        <v>2387.83</v>
      </c>
      <c r="E45" s="102">
        <f t="shared" si="30"/>
        <v>2396.5</v>
      </c>
      <c r="F45" s="102">
        <f t="shared" si="30"/>
        <v>2360.83</v>
      </c>
      <c r="G45" s="157">
        <f t="shared" si="30"/>
        <v>2338.6</v>
      </c>
      <c r="H45" s="101">
        <f t="shared" si="30"/>
        <v>2349.63</v>
      </c>
      <c r="I45" s="101">
        <f t="shared" si="30"/>
        <v>2605.3000000000002</v>
      </c>
      <c r="J45" s="101">
        <f t="shared" si="30"/>
        <v>2631.86</v>
      </c>
      <c r="K45" s="101">
        <f t="shared" si="30"/>
        <v>2580.61</v>
      </c>
      <c r="L45" s="101">
        <f t="shared" si="30"/>
        <v>2625.93</v>
      </c>
      <c r="M45" s="101">
        <f t="shared" si="30"/>
        <v>2678.81</v>
      </c>
      <c r="N45" s="158">
        <f t="shared" si="30"/>
        <v>2629.95</v>
      </c>
    </row>
    <row r="46" spans="1:15" s="13" customFormat="1" ht="15" customHeight="1" x14ac:dyDescent="0.2">
      <c r="A46" s="40"/>
      <c r="B46" s="90" t="s">
        <v>9</v>
      </c>
      <c r="C46" s="114">
        <f t="shared" ref="C46:N46" si="31">C38</f>
        <v>177.82999999999998</v>
      </c>
      <c r="D46" s="114">
        <f t="shared" si="31"/>
        <v>177.82999999999998</v>
      </c>
      <c r="E46" s="115">
        <f t="shared" si="31"/>
        <v>177.82999999999998</v>
      </c>
      <c r="F46" s="115">
        <f t="shared" si="31"/>
        <v>177.82999999999998</v>
      </c>
      <c r="G46" s="121">
        <f t="shared" si="31"/>
        <v>177.82999999999998</v>
      </c>
      <c r="H46" s="115">
        <f t="shared" si="31"/>
        <v>177.82999999999998</v>
      </c>
      <c r="I46" s="115">
        <f t="shared" si="31"/>
        <v>177.82999999999998</v>
      </c>
      <c r="J46" s="115">
        <f t="shared" si="31"/>
        <v>177.82999999999998</v>
      </c>
      <c r="K46" s="115">
        <f t="shared" si="31"/>
        <v>177.82999999999998</v>
      </c>
      <c r="L46" s="115">
        <f t="shared" si="31"/>
        <v>249.16</v>
      </c>
      <c r="M46" s="115">
        <f t="shared" si="31"/>
        <v>249.16</v>
      </c>
      <c r="N46" s="122">
        <f t="shared" si="31"/>
        <v>249.16</v>
      </c>
    </row>
    <row r="47" spans="1:15" s="13" customFormat="1" ht="15" customHeight="1" x14ac:dyDescent="0.2">
      <c r="A47" s="81"/>
      <c r="B47" s="91" t="s">
        <v>42</v>
      </c>
      <c r="C47" s="106">
        <f t="shared" ref="C47:N47" si="32">C39</f>
        <v>5.3629999999999995</v>
      </c>
      <c r="D47" s="106">
        <f t="shared" si="32"/>
        <v>5.3629999999999995</v>
      </c>
      <c r="E47" s="107">
        <f t="shared" si="32"/>
        <v>5.3629999999999995</v>
      </c>
      <c r="F47" s="107">
        <f t="shared" si="32"/>
        <v>5.3629999999999995</v>
      </c>
      <c r="G47" s="108">
        <f t="shared" si="32"/>
        <v>5.3629999999999995</v>
      </c>
      <c r="H47" s="106">
        <f t="shared" si="32"/>
        <v>5.3629999999999995</v>
      </c>
      <c r="I47" s="106">
        <f t="shared" si="32"/>
        <v>5.3629999999999995</v>
      </c>
      <c r="J47" s="106">
        <f t="shared" si="32"/>
        <v>5.3629999999999995</v>
      </c>
      <c r="K47" s="106">
        <f t="shared" si="32"/>
        <v>5.3629999999999995</v>
      </c>
      <c r="L47" s="106">
        <f t="shared" si="32"/>
        <v>6.1235300365250511</v>
      </c>
      <c r="M47" s="106">
        <f t="shared" si="32"/>
        <v>6.1235300365250511</v>
      </c>
      <c r="N47" s="109">
        <f t="shared" si="32"/>
        <v>6.1235300365250511</v>
      </c>
    </row>
    <row r="48" spans="1:15" s="13" customFormat="1" ht="25.5" x14ac:dyDescent="0.2">
      <c r="A48" s="81"/>
      <c r="B48" s="87" t="s">
        <v>118</v>
      </c>
      <c r="C48" s="118">
        <f>SUM(C49:C50)</f>
        <v>1063691.4400000002</v>
      </c>
      <c r="D48" s="118">
        <f t="shared" ref="D48" si="33">SUM(D49:D50)</f>
        <v>1007002.78</v>
      </c>
      <c r="E48" s="126">
        <f t="shared" ref="E48" si="34">SUM(E49:E50)</f>
        <v>1062450.8899999999</v>
      </c>
      <c r="F48" s="126">
        <f t="shared" ref="F48" si="35">SUM(F49:F50)</f>
        <v>1056190.19</v>
      </c>
      <c r="G48" s="118">
        <f t="shared" ref="G48" si="36">SUM(G49:G50)</f>
        <v>1227142.22</v>
      </c>
      <c r="H48" s="118">
        <f t="shared" ref="H48" si="37">SUM(H49:H50)</f>
        <v>1197387.5999999999</v>
      </c>
      <c r="I48" s="118">
        <f t="shared" ref="I48" si="38">SUM(I49:I50)</f>
        <v>1200392.96</v>
      </c>
      <c r="J48" s="118">
        <f t="shared" ref="J48" si="39">SUM(J49:J50)</f>
        <v>1192228.79</v>
      </c>
      <c r="K48" s="118">
        <f t="shared" ref="K48" si="40">SUM(K49:K50)</f>
        <v>1192669.18</v>
      </c>
      <c r="L48" s="118">
        <f t="shared" ref="L48" si="41">SUM(L49:L50)</f>
        <v>1225813.8399999999</v>
      </c>
      <c r="M48" s="118">
        <f t="shared" ref="M48" si="42">SUM(M49:M50)</f>
        <v>1234126.6700000002</v>
      </c>
      <c r="N48" s="127">
        <f t="shared" ref="N48" si="43">SUM(N49:N50)</f>
        <v>1233361.28</v>
      </c>
    </row>
    <row r="49" spans="1:15" s="13" customFormat="1" ht="25.5" x14ac:dyDescent="0.2">
      <c r="A49" s="81"/>
      <c r="B49" s="91" t="s">
        <v>116</v>
      </c>
      <c r="C49" s="101">
        <v>850.58</v>
      </c>
      <c r="D49" s="101">
        <v>1150.1400000000001</v>
      </c>
      <c r="E49" s="102">
        <v>1178.98</v>
      </c>
      <c r="F49" s="102">
        <v>1377.28</v>
      </c>
      <c r="G49" s="157">
        <v>1386.94</v>
      </c>
      <c r="H49" s="101">
        <v>1354.18</v>
      </c>
      <c r="I49" s="101">
        <v>1251.6600000000001</v>
      </c>
      <c r="J49" s="101">
        <v>1551.11</v>
      </c>
      <c r="K49" s="101">
        <v>1608.71</v>
      </c>
      <c r="L49" s="101">
        <v>1250.6400000000001</v>
      </c>
      <c r="M49" s="101">
        <v>1067.3599999999999</v>
      </c>
      <c r="N49" s="158">
        <v>1060.92</v>
      </c>
    </row>
    <row r="50" spans="1:15" s="13" customFormat="1" ht="26.25" thickBot="1" x14ac:dyDescent="0.25">
      <c r="A50" s="32"/>
      <c r="B50" s="186" t="s">
        <v>117</v>
      </c>
      <c r="C50" s="187">
        <v>1062840.8600000001</v>
      </c>
      <c r="D50" s="187">
        <v>1005852.64</v>
      </c>
      <c r="E50" s="100">
        <v>1061271.9099999999</v>
      </c>
      <c r="F50" s="100">
        <v>1054812.9099999999</v>
      </c>
      <c r="G50" s="192">
        <v>1225755.28</v>
      </c>
      <c r="H50" s="187">
        <v>1196033.42</v>
      </c>
      <c r="I50" s="187">
        <v>1199141.3</v>
      </c>
      <c r="J50" s="187">
        <v>1190677.68</v>
      </c>
      <c r="K50" s="187">
        <v>1191060.47</v>
      </c>
      <c r="L50" s="187">
        <v>1224563.2</v>
      </c>
      <c r="M50" s="187">
        <v>1233059.31</v>
      </c>
      <c r="N50" s="188">
        <v>1232300.3600000001</v>
      </c>
    </row>
    <row r="51" spans="1:15" ht="15" customHeight="1" x14ac:dyDescent="0.2"/>
    <row r="52" spans="1:15" ht="15" customHeight="1" x14ac:dyDescent="0.2"/>
    <row r="53" spans="1:15" s="59" customFormat="1" ht="21" customHeight="1" thickBot="1" x14ac:dyDescent="0.25">
      <c r="A53" s="7" t="s">
        <v>83</v>
      </c>
      <c r="B53" s="7"/>
      <c r="C53" s="7"/>
      <c r="D53" s="7"/>
      <c r="E53" s="7"/>
      <c r="F53" s="7"/>
      <c r="G53" s="5"/>
      <c r="H53" s="5"/>
      <c r="I53" s="5"/>
      <c r="J53" s="5"/>
      <c r="K53" s="5"/>
      <c r="L53" s="6"/>
      <c r="M53" s="6"/>
      <c r="N53" s="6"/>
    </row>
    <row r="54" spans="1:15" s="13" customFormat="1" ht="24" customHeight="1" thickBot="1" x14ac:dyDescent="0.25">
      <c r="A54" s="49" t="s">
        <v>0</v>
      </c>
      <c r="B54" s="50" t="s">
        <v>1</v>
      </c>
      <c r="C54" s="51" t="s">
        <v>17</v>
      </c>
      <c r="D54" s="51" t="s">
        <v>18</v>
      </c>
      <c r="E54" s="51" t="s">
        <v>19</v>
      </c>
      <c r="F54" s="51" t="s">
        <v>20</v>
      </c>
      <c r="G54" s="51" t="s">
        <v>21</v>
      </c>
      <c r="H54" s="51" t="s">
        <v>22</v>
      </c>
      <c r="I54" s="51" t="s">
        <v>23</v>
      </c>
      <c r="J54" s="51" t="s">
        <v>24</v>
      </c>
      <c r="K54" s="51" t="s">
        <v>25</v>
      </c>
      <c r="L54" s="51" t="s">
        <v>26</v>
      </c>
      <c r="M54" s="51" t="s">
        <v>27</v>
      </c>
      <c r="N54" s="52" t="s">
        <v>28</v>
      </c>
    </row>
    <row r="55" spans="1:15" s="17" customFormat="1" ht="21" customHeight="1" thickBot="1" x14ac:dyDescent="0.25">
      <c r="A55" s="14" t="s">
        <v>31</v>
      </c>
      <c r="B55" s="15" t="s">
        <v>5</v>
      </c>
      <c r="C55" s="70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2"/>
      <c r="O55" s="44"/>
    </row>
    <row r="56" spans="1:15" s="17" customFormat="1" ht="14.25" customHeight="1" thickBot="1" x14ac:dyDescent="0.25">
      <c r="A56" s="18" t="s">
        <v>32</v>
      </c>
      <c r="B56" s="78" t="s">
        <v>7</v>
      </c>
      <c r="C56" s="20"/>
      <c r="D56" s="20"/>
      <c r="E56" s="21"/>
      <c r="F56" s="21"/>
      <c r="G56" s="63"/>
      <c r="H56" s="21"/>
      <c r="I56" s="21"/>
      <c r="J56" s="21"/>
      <c r="K56" s="21"/>
      <c r="L56" s="21"/>
      <c r="M56" s="21"/>
      <c r="N56" s="22"/>
      <c r="O56" s="61"/>
    </row>
    <row r="57" spans="1:15" s="13" customFormat="1" ht="15" customHeight="1" x14ac:dyDescent="0.2">
      <c r="A57" s="80"/>
      <c r="B57" s="86" t="s">
        <v>61</v>
      </c>
      <c r="C57" s="155">
        <f>SUM(C58:C61)</f>
        <v>5099.5430000000006</v>
      </c>
      <c r="D57" s="155">
        <f t="shared" ref="D57:N57" si="44">SUM(D58:D61)</f>
        <v>5296.6230000000005</v>
      </c>
      <c r="E57" s="156">
        <f t="shared" si="44"/>
        <v>5305.2930000000006</v>
      </c>
      <c r="F57" s="156">
        <f t="shared" si="44"/>
        <v>5269.6230000000005</v>
      </c>
      <c r="G57" s="156">
        <f t="shared" si="44"/>
        <v>5247.393</v>
      </c>
      <c r="H57" s="156">
        <f t="shared" si="44"/>
        <v>5258.4229999999998</v>
      </c>
      <c r="I57" s="156">
        <f t="shared" si="44"/>
        <v>5514.0929999999998</v>
      </c>
      <c r="J57" s="156">
        <f t="shared" si="44"/>
        <v>5540.6530000000002</v>
      </c>
      <c r="K57" s="156">
        <f t="shared" si="44"/>
        <v>5489.4030000000002</v>
      </c>
      <c r="L57" s="156">
        <f t="shared" si="44"/>
        <v>6021.1035300365247</v>
      </c>
      <c r="M57" s="156">
        <f t="shared" si="44"/>
        <v>6073.9835300365248</v>
      </c>
      <c r="N57" s="156">
        <f t="shared" si="44"/>
        <v>6025.1235300365252</v>
      </c>
      <c r="O57" s="61"/>
    </row>
    <row r="58" spans="1:15" s="13" customFormat="1" ht="15" customHeight="1" x14ac:dyDescent="0.2">
      <c r="A58" s="29"/>
      <c r="B58" s="89" t="s">
        <v>101</v>
      </c>
      <c r="C58" s="101">
        <v>2190.75</v>
      </c>
      <c r="D58" s="101">
        <v>2387.83</v>
      </c>
      <c r="E58" s="102">
        <v>2396.5</v>
      </c>
      <c r="F58" s="102">
        <v>2360.83</v>
      </c>
      <c r="G58" s="157">
        <v>2338.6</v>
      </c>
      <c r="H58" s="101">
        <v>2349.63</v>
      </c>
      <c r="I58" s="101">
        <v>2605.3000000000002</v>
      </c>
      <c r="J58" s="101">
        <v>2631.86</v>
      </c>
      <c r="K58" s="101">
        <v>2580.61</v>
      </c>
      <c r="L58" s="101">
        <v>2625.93</v>
      </c>
      <c r="M58" s="101">
        <v>2678.81</v>
      </c>
      <c r="N58" s="158">
        <v>2629.95</v>
      </c>
      <c r="O58" s="61"/>
    </row>
    <row r="59" spans="1:15" s="13" customFormat="1" ht="15" customHeight="1" x14ac:dyDescent="0.2">
      <c r="A59" s="25"/>
      <c r="B59" s="90" t="s">
        <v>8</v>
      </c>
      <c r="C59" s="146">
        <v>2725.6</v>
      </c>
      <c r="D59" s="146">
        <v>2725.6</v>
      </c>
      <c r="E59" s="99">
        <v>2725.6</v>
      </c>
      <c r="F59" s="99">
        <v>2725.6</v>
      </c>
      <c r="G59" s="147">
        <v>2725.6</v>
      </c>
      <c r="H59" s="146">
        <v>2725.6</v>
      </c>
      <c r="I59" s="146">
        <v>2725.6</v>
      </c>
      <c r="J59" s="146">
        <v>2725.6</v>
      </c>
      <c r="K59" s="146">
        <v>2725.6</v>
      </c>
      <c r="L59" s="146">
        <v>3139.89</v>
      </c>
      <c r="M59" s="146">
        <v>3139.89</v>
      </c>
      <c r="N59" s="148">
        <v>3139.89</v>
      </c>
      <c r="O59" s="61"/>
    </row>
    <row r="60" spans="1:15" s="13" customFormat="1" ht="15" customHeight="1" x14ac:dyDescent="0.2">
      <c r="A60" s="29"/>
      <c r="B60" s="89" t="s">
        <v>9</v>
      </c>
      <c r="C60" s="114">
        <v>177.82999999999998</v>
      </c>
      <c r="D60" s="114">
        <v>177.82999999999998</v>
      </c>
      <c r="E60" s="115">
        <v>177.82999999999998</v>
      </c>
      <c r="F60" s="115">
        <v>177.82999999999998</v>
      </c>
      <c r="G60" s="116">
        <v>177.82999999999998</v>
      </c>
      <c r="H60" s="114">
        <v>177.82999999999998</v>
      </c>
      <c r="I60" s="114">
        <v>177.82999999999998</v>
      </c>
      <c r="J60" s="114">
        <v>177.82999999999998</v>
      </c>
      <c r="K60" s="114">
        <v>177.82999999999998</v>
      </c>
      <c r="L60" s="114">
        <v>249.16</v>
      </c>
      <c r="M60" s="114">
        <v>249.16</v>
      </c>
      <c r="N60" s="117">
        <v>249.16</v>
      </c>
      <c r="O60" s="61"/>
    </row>
    <row r="61" spans="1:15" s="13" customFormat="1" x14ac:dyDescent="0.2">
      <c r="A61" s="81"/>
      <c r="B61" s="91" t="s">
        <v>42</v>
      </c>
      <c r="C61" s="106">
        <v>5.3629999999999995</v>
      </c>
      <c r="D61" s="106">
        <v>5.3629999999999995</v>
      </c>
      <c r="E61" s="107">
        <v>5.3629999999999995</v>
      </c>
      <c r="F61" s="107">
        <v>5.3629999999999995</v>
      </c>
      <c r="G61" s="108">
        <v>5.3629999999999995</v>
      </c>
      <c r="H61" s="106">
        <v>5.3629999999999995</v>
      </c>
      <c r="I61" s="106">
        <v>5.3629999999999995</v>
      </c>
      <c r="J61" s="106">
        <v>5.3629999999999995</v>
      </c>
      <c r="K61" s="106">
        <v>5.3629999999999995</v>
      </c>
      <c r="L61" s="106">
        <v>6.1235300365250511</v>
      </c>
      <c r="M61" s="106">
        <v>6.1235300365250511</v>
      </c>
      <c r="N61" s="109">
        <v>6.1235300365250511</v>
      </c>
      <c r="O61" s="61"/>
    </row>
    <row r="62" spans="1:15" s="13" customFormat="1" ht="25.5" x14ac:dyDescent="0.2">
      <c r="A62" s="178"/>
      <c r="B62" s="87" t="s">
        <v>118</v>
      </c>
      <c r="C62" s="118">
        <f>SUM(C63:C64)</f>
        <v>1063691.4400000002</v>
      </c>
      <c r="D62" s="118">
        <f t="shared" ref="D62" si="45">SUM(D63:D64)</f>
        <v>1007002.78</v>
      </c>
      <c r="E62" s="126">
        <f t="shared" ref="E62" si="46">SUM(E63:E64)</f>
        <v>1062450.8899999999</v>
      </c>
      <c r="F62" s="126">
        <f t="shared" ref="F62" si="47">SUM(F63:F64)</f>
        <v>1056190.19</v>
      </c>
      <c r="G62" s="118">
        <f t="shared" ref="G62" si="48">SUM(G63:G64)</f>
        <v>1227142.22</v>
      </c>
      <c r="H62" s="118">
        <f t="shared" ref="H62" si="49">SUM(H63:H64)</f>
        <v>1197387.5999999999</v>
      </c>
      <c r="I62" s="118">
        <f t="shared" ref="I62" si="50">SUM(I63:I64)</f>
        <v>1200392.96</v>
      </c>
      <c r="J62" s="118">
        <f t="shared" ref="J62" si="51">SUM(J63:J64)</f>
        <v>1192228.79</v>
      </c>
      <c r="K62" s="118">
        <f t="shared" ref="K62" si="52">SUM(K63:K64)</f>
        <v>1192669.18</v>
      </c>
      <c r="L62" s="118">
        <f t="shared" ref="L62" si="53">SUM(L63:L64)</f>
        <v>1225813.8399999999</v>
      </c>
      <c r="M62" s="118">
        <f t="shared" ref="M62" si="54">SUM(M63:M64)</f>
        <v>1234126.6700000002</v>
      </c>
      <c r="N62" s="127">
        <f t="shared" ref="N62" si="55">SUM(N63:N64)</f>
        <v>1233361.28</v>
      </c>
      <c r="O62" s="61"/>
    </row>
    <row r="63" spans="1:15" s="13" customFormat="1" ht="25.5" x14ac:dyDescent="0.2">
      <c r="A63" s="178"/>
      <c r="B63" s="91" t="s">
        <v>116</v>
      </c>
      <c r="C63" s="101">
        <v>850.58</v>
      </c>
      <c r="D63" s="101">
        <v>1150.1400000000001</v>
      </c>
      <c r="E63" s="102">
        <v>1178.98</v>
      </c>
      <c r="F63" s="102">
        <v>1377.28</v>
      </c>
      <c r="G63" s="157">
        <v>1386.94</v>
      </c>
      <c r="H63" s="101">
        <v>1354.18</v>
      </c>
      <c r="I63" s="101">
        <v>1251.6600000000001</v>
      </c>
      <c r="J63" s="101">
        <v>1551.11</v>
      </c>
      <c r="K63" s="101">
        <v>1608.71</v>
      </c>
      <c r="L63" s="101">
        <v>1250.6400000000001</v>
      </c>
      <c r="M63" s="101">
        <v>1067.3599999999999</v>
      </c>
      <c r="N63" s="158">
        <v>1060.92</v>
      </c>
      <c r="O63" s="61"/>
    </row>
    <row r="64" spans="1:15" s="13" customFormat="1" ht="26.25" thickBot="1" x14ac:dyDescent="0.25">
      <c r="A64" s="82"/>
      <c r="B64" s="186" t="s">
        <v>117</v>
      </c>
      <c r="C64" s="187">
        <v>1062840.8600000001</v>
      </c>
      <c r="D64" s="187">
        <v>1005852.64</v>
      </c>
      <c r="E64" s="100">
        <v>1061271.9099999999</v>
      </c>
      <c r="F64" s="100">
        <v>1054812.9099999999</v>
      </c>
      <c r="G64" s="192">
        <v>1225755.28</v>
      </c>
      <c r="H64" s="187">
        <v>1196033.42</v>
      </c>
      <c r="I64" s="187">
        <v>1199141.3</v>
      </c>
      <c r="J64" s="187">
        <v>1190677.68</v>
      </c>
      <c r="K64" s="187">
        <v>1191060.47</v>
      </c>
      <c r="L64" s="187">
        <v>1224563.2</v>
      </c>
      <c r="M64" s="187">
        <v>1233059.31</v>
      </c>
      <c r="N64" s="188">
        <v>1232300.3600000001</v>
      </c>
    </row>
    <row r="65" spans="1:15" s="13" customFormat="1" ht="26.25" thickBot="1" x14ac:dyDescent="0.25">
      <c r="A65" s="36" t="s">
        <v>33</v>
      </c>
      <c r="B65" s="37" t="s">
        <v>11</v>
      </c>
      <c r="C65" s="20"/>
      <c r="D65" s="20"/>
      <c r="E65" s="21"/>
      <c r="F65" s="21"/>
      <c r="G65" s="66"/>
      <c r="H65" s="20"/>
      <c r="I65" s="20"/>
      <c r="J65" s="20"/>
      <c r="K65" s="20"/>
      <c r="L65" s="20"/>
      <c r="M65" s="20"/>
      <c r="N65" s="55"/>
    </row>
    <row r="66" spans="1:15" s="13" customFormat="1" ht="15" customHeight="1" x14ac:dyDescent="0.2">
      <c r="A66" s="85"/>
      <c r="B66" s="88" t="s">
        <v>61</v>
      </c>
      <c r="C66" s="159">
        <f>SUM(C67:C69)</f>
        <v>2373.9429999999998</v>
      </c>
      <c r="D66" s="159">
        <f t="shared" ref="D66:N66" si="56">SUM(D67:D69)</f>
        <v>2571.0229999999997</v>
      </c>
      <c r="E66" s="160">
        <f t="shared" si="56"/>
        <v>2579.6929999999998</v>
      </c>
      <c r="F66" s="160">
        <f t="shared" si="56"/>
        <v>2544.0229999999997</v>
      </c>
      <c r="G66" s="160">
        <f t="shared" si="56"/>
        <v>2521.7929999999997</v>
      </c>
      <c r="H66" s="160">
        <f t="shared" si="56"/>
        <v>2532.8229999999999</v>
      </c>
      <c r="I66" s="160">
        <f t="shared" si="56"/>
        <v>2788.4929999999999</v>
      </c>
      <c r="J66" s="160">
        <f t="shared" si="56"/>
        <v>2815.0529999999999</v>
      </c>
      <c r="K66" s="160">
        <f t="shared" si="56"/>
        <v>2763.8029999999999</v>
      </c>
      <c r="L66" s="160">
        <f t="shared" si="56"/>
        <v>2881.2135300365248</v>
      </c>
      <c r="M66" s="160">
        <f t="shared" si="56"/>
        <v>2934.093530036525</v>
      </c>
      <c r="N66" s="161">
        <f t="shared" si="56"/>
        <v>2885.2335300365248</v>
      </c>
    </row>
    <row r="67" spans="1:15" s="13" customFormat="1" ht="15" customHeight="1" x14ac:dyDescent="0.2">
      <c r="A67" s="25"/>
      <c r="B67" s="89" t="s">
        <v>101</v>
      </c>
      <c r="C67" s="101">
        <f t="shared" ref="C67:N67" si="57">C58</f>
        <v>2190.75</v>
      </c>
      <c r="D67" s="101">
        <f t="shared" si="57"/>
        <v>2387.83</v>
      </c>
      <c r="E67" s="102">
        <f t="shared" si="57"/>
        <v>2396.5</v>
      </c>
      <c r="F67" s="102">
        <f t="shared" si="57"/>
        <v>2360.83</v>
      </c>
      <c r="G67" s="157">
        <f t="shared" si="57"/>
        <v>2338.6</v>
      </c>
      <c r="H67" s="101">
        <f t="shared" si="57"/>
        <v>2349.63</v>
      </c>
      <c r="I67" s="101">
        <f t="shared" si="57"/>
        <v>2605.3000000000002</v>
      </c>
      <c r="J67" s="101">
        <f t="shared" si="57"/>
        <v>2631.86</v>
      </c>
      <c r="K67" s="101">
        <f t="shared" si="57"/>
        <v>2580.61</v>
      </c>
      <c r="L67" s="101">
        <f t="shared" si="57"/>
        <v>2625.93</v>
      </c>
      <c r="M67" s="101">
        <f t="shared" si="57"/>
        <v>2678.81</v>
      </c>
      <c r="N67" s="158">
        <f t="shared" si="57"/>
        <v>2629.95</v>
      </c>
    </row>
    <row r="68" spans="1:15" s="13" customFormat="1" ht="15" customHeight="1" x14ac:dyDescent="0.2">
      <c r="A68" s="40"/>
      <c r="B68" s="90" t="s">
        <v>9</v>
      </c>
      <c r="C68" s="114">
        <f t="shared" ref="C68:N68" si="58">C60</f>
        <v>177.82999999999998</v>
      </c>
      <c r="D68" s="114">
        <f t="shared" si="58"/>
        <v>177.82999999999998</v>
      </c>
      <c r="E68" s="115">
        <f t="shared" si="58"/>
        <v>177.82999999999998</v>
      </c>
      <c r="F68" s="115">
        <f t="shared" si="58"/>
        <v>177.82999999999998</v>
      </c>
      <c r="G68" s="121">
        <f t="shared" si="58"/>
        <v>177.82999999999998</v>
      </c>
      <c r="H68" s="115">
        <f t="shared" si="58"/>
        <v>177.82999999999998</v>
      </c>
      <c r="I68" s="115">
        <f t="shared" si="58"/>
        <v>177.82999999999998</v>
      </c>
      <c r="J68" s="115">
        <f t="shared" si="58"/>
        <v>177.82999999999998</v>
      </c>
      <c r="K68" s="115">
        <f t="shared" si="58"/>
        <v>177.82999999999998</v>
      </c>
      <c r="L68" s="115">
        <f t="shared" si="58"/>
        <v>249.16</v>
      </c>
      <c r="M68" s="115">
        <f t="shared" si="58"/>
        <v>249.16</v>
      </c>
      <c r="N68" s="122">
        <f t="shared" si="58"/>
        <v>249.16</v>
      </c>
    </row>
    <row r="69" spans="1:15" s="13" customFormat="1" ht="15" customHeight="1" x14ac:dyDescent="0.2">
      <c r="A69" s="81"/>
      <c r="B69" s="91" t="s">
        <v>42</v>
      </c>
      <c r="C69" s="106">
        <f t="shared" ref="C69:N69" si="59">C61</f>
        <v>5.3629999999999995</v>
      </c>
      <c r="D69" s="106">
        <f t="shared" si="59"/>
        <v>5.3629999999999995</v>
      </c>
      <c r="E69" s="107">
        <f t="shared" si="59"/>
        <v>5.3629999999999995</v>
      </c>
      <c r="F69" s="107">
        <f t="shared" si="59"/>
        <v>5.3629999999999995</v>
      </c>
      <c r="G69" s="108">
        <f t="shared" si="59"/>
        <v>5.3629999999999995</v>
      </c>
      <c r="H69" s="106">
        <f t="shared" si="59"/>
        <v>5.3629999999999995</v>
      </c>
      <c r="I69" s="106">
        <f t="shared" si="59"/>
        <v>5.3629999999999995</v>
      </c>
      <c r="J69" s="106">
        <f t="shared" si="59"/>
        <v>5.3629999999999995</v>
      </c>
      <c r="K69" s="106">
        <f t="shared" si="59"/>
        <v>5.3629999999999995</v>
      </c>
      <c r="L69" s="106">
        <f t="shared" si="59"/>
        <v>6.1235300365250511</v>
      </c>
      <c r="M69" s="106">
        <f t="shared" si="59"/>
        <v>6.1235300365250511</v>
      </c>
      <c r="N69" s="109">
        <f t="shared" si="59"/>
        <v>6.1235300365250511</v>
      </c>
    </row>
    <row r="70" spans="1:15" s="13" customFormat="1" ht="25.5" x14ac:dyDescent="0.2">
      <c r="A70" s="81"/>
      <c r="B70" s="87" t="s">
        <v>118</v>
      </c>
      <c r="C70" s="118">
        <f>SUM(C71:C72)</f>
        <v>1063691.4400000002</v>
      </c>
      <c r="D70" s="118">
        <f t="shared" ref="D70" si="60">SUM(D71:D72)</f>
        <v>1007002.78</v>
      </c>
      <c r="E70" s="126">
        <f t="shared" ref="E70" si="61">SUM(E71:E72)</f>
        <v>1062450.8899999999</v>
      </c>
      <c r="F70" s="126">
        <f t="shared" ref="F70" si="62">SUM(F71:F72)</f>
        <v>1056190.19</v>
      </c>
      <c r="G70" s="118">
        <f t="shared" ref="G70" si="63">SUM(G71:G72)</f>
        <v>1227142.22</v>
      </c>
      <c r="H70" s="118">
        <f t="shared" ref="H70" si="64">SUM(H71:H72)</f>
        <v>1197387.5999999999</v>
      </c>
      <c r="I70" s="118">
        <f t="shared" ref="I70" si="65">SUM(I71:I72)</f>
        <v>1200392.96</v>
      </c>
      <c r="J70" s="118">
        <f t="shared" ref="J70" si="66">SUM(J71:J72)</f>
        <v>1192228.79</v>
      </c>
      <c r="K70" s="118">
        <f t="shared" ref="K70" si="67">SUM(K71:K72)</f>
        <v>1192669.18</v>
      </c>
      <c r="L70" s="118">
        <f t="shared" ref="L70" si="68">SUM(L71:L72)</f>
        <v>1225813.8399999999</v>
      </c>
      <c r="M70" s="118">
        <f t="shared" ref="M70" si="69">SUM(M71:M72)</f>
        <v>1234126.6700000002</v>
      </c>
      <c r="N70" s="127">
        <f t="shared" ref="N70" si="70">SUM(N71:N72)</f>
        <v>1233361.28</v>
      </c>
    </row>
    <row r="71" spans="1:15" s="13" customFormat="1" ht="25.5" x14ac:dyDescent="0.2">
      <c r="A71" s="81"/>
      <c r="B71" s="91" t="s">
        <v>116</v>
      </c>
      <c r="C71" s="101">
        <v>850.58</v>
      </c>
      <c r="D71" s="101">
        <v>1150.1400000000001</v>
      </c>
      <c r="E71" s="102">
        <v>1178.98</v>
      </c>
      <c r="F71" s="102">
        <v>1377.28</v>
      </c>
      <c r="G71" s="157">
        <v>1386.94</v>
      </c>
      <c r="H71" s="101">
        <v>1354.18</v>
      </c>
      <c r="I71" s="101">
        <v>1251.6600000000001</v>
      </c>
      <c r="J71" s="101">
        <v>1551.11</v>
      </c>
      <c r="K71" s="101">
        <v>1608.71</v>
      </c>
      <c r="L71" s="101">
        <v>1250.6400000000001</v>
      </c>
      <c r="M71" s="101">
        <v>1067.3599999999999</v>
      </c>
      <c r="N71" s="158">
        <v>1060.92</v>
      </c>
    </row>
    <row r="72" spans="1:15" s="13" customFormat="1" ht="26.25" thickBot="1" x14ac:dyDescent="0.25">
      <c r="A72" s="32"/>
      <c r="B72" s="186" t="s">
        <v>117</v>
      </c>
      <c r="C72" s="187">
        <v>1062840.8600000001</v>
      </c>
      <c r="D72" s="187">
        <v>1005852.64</v>
      </c>
      <c r="E72" s="100">
        <v>1061271.9099999999</v>
      </c>
      <c r="F72" s="100">
        <v>1054812.9099999999</v>
      </c>
      <c r="G72" s="192">
        <v>1225755.28</v>
      </c>
      <c r="H72" s="187">
        <v>1196033.42</v>
      </c>
      <c r="I72" s="187">
        <v>1199141.3</v>
      </c>
      <c r="J72" s="187">
        <v>1190677.68</v>
      </c>
      <c r="K72" s="187">
        <v>1191060.47</v>
      </c>
      <c r="L72" s="187">
        <v>1224563.2</v>
      </c>
      <c r="M72" s="187">
        <v>1233059.31</v>
      </c>
      <c r="N72" s="188">
        <v>1232300.3600000001</v>
      </c>
    </row>
    <row r="73" spans="1:15" s="13" customFormat="1" ht="15" customHeight="1" x14ac:dyDescent="0.2">
      <c r="A73" s="45"/>
      <c r="B73" s="46"/>
      <c r="C73" s="47"/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5" s="13" customFormat="1" ht="15" customHeight="1" x14ac:dyDescent="0.2">
      <c r="A74" s="45"/>
      <c r="B74" s="46"/>
      <c r="C74" s="47"/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5" s="59" customFormat="1" ht="21" customHeight="1" thickBot="1" x14ac:dyDescent="0.25">
      <c r="A75" s="7" t="s">
        <v>82</v>
      </c>
      <c r="B75" s="7"/>
      <c r="C75" s="7"/>
      <c r="D75" s="7"/>
      <c r="E75" s="7"/>
      <c r="F75" s="7"/>
      <c r="G75" s="5"/>
      <c r="H75" s="5"/>
      <c r="I75" s="5"/>
      <c r="J75" s="5"/>
      <c r="K75" s="5"/>
      <c r="L75" s="6"/>
      <c r="M75" s="6"/>
      <c r="N75" s="6"/>
    </row>
    <row r="76" spans="1:15" s="13" customFormat="1" ht="24" customHeight="1" thickBot="1" x14ac:dyDescent="0.25">
      <c r="A76" s="49" t="s">
        <v>0</v>
      </c>
      <c r="B76" s="50" t="s">
        <v>1</v>
      </c>
      <c r="C76" s="51" t="s">
        <v>17</v>
      </c>
      <c r="D76" s="51" t="s">
        <v>18</v>
      </c>
      <c r="E76" s="51" t="s">
        <v>19</v>
      </c>
      <c r="F76" s="51" t="s">
        <v>20</v>
      </c>
      <c r="G76" s="51" t="s">
        <v>21</v>
      </c>
      <c r="H76" s="51" t="s">
        <v>22</v>
      </c>
      <c r="I76" s="51" t="s">
        <v>23</v>
      </c>
      <c r="J76" s="51" t="s">
        <v>24</v>
      </c>
      <c r="K76" s="51" t="s">
        <v>25</v>
      </c>
      <c r="L76" s="51" t="s">
        <v>26</v>
      </c>
      <c r="M76" s="51" t="s">
        <v>27</v>
      </c>
      <c r="N76" s="52" t="s">
        <v>28</v>
      </c>
    </row>
    <row r="77" spans="1:15" s="17" customFormat="1" ht="21" customHeight="1" thickBot="1" x14ac:dyDescent="0.25">
      <c r="A77" s="14" t="s">
        <v>34</v>
      </c>
      <c r="B77" s="15" t="s">
        <v>5</v>
      </c>
      <c r="C77" s="70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2"/>
      <c r="O77" s="44"/>
    </row>
    <row r="78" spans="1:15" s="17" customFormat="1" ht="13.5" thickBot="1" x14ac:dyDescent="0.25">
      <c r="A78" s="18" t="s">
        <v>35</v>
      </c>
      <c r="B78" s="78" t="s">
        <v>7</v>
      </c>
      <c r="C78" s="20"/>
      <c r="D78" s="20"/>
      <c r="E78" s="21"/>
      <c r="F78" s="21"/>
      <c r="G78" s="63"/>
      <c r="H78" s="21"/>
      <c r="I78" s="21"/>
      <c r="J78" s="21"/>
      <c r="K78" s="21"/>
      <c r="L78" s="21"/>
      <c r="M78" s="21"/>
      <c r="N78" s="22"/>
      <c r="O78" s="61"/>
    </row>
    <row r="79" spans="1:15" s="13" customFormat="1" ht="15" customHeight="1" x14ac:dyDescent="0.2">
      <c r="A79" s="80"/>
      <c r="B79" s="86" t="s">
        <v>61</v>
      </c>
      <c r="C79" s="155">
        <f>SUM(C80:C83)</f>
        <v>6775.7030000000004</v>
      </c>
      <c r="D79" s="155">
        <f t="shared" ref="D79:N79" si="71">SUM(D80:D83)</f>
        <v>6972.7830000000004</v>
      </c>
      <c r="E79" s="156">
        <f t="shared" si="71"/>
        <v>6981.4530000000004</v>
      </c>
      <c r="F79" s="156">
        <f t="shared" si="71"/>
        <v>6945.7830000000004</v>
      </c>
      <c r="G79" s="156">
        <f t="shared" si="71"/>
        <v>6923.5530000000008</v>
      </c>
      <c r="H79" s="156">
        <f t="shared" si="71"/>
        <v>6934.5830000000005</v>
      </c>
      <c r="I79" s="156">
        <f t="shared" si="71"/>
        <v>7190.2530000000006</v>
      </c>
      <c r="J79" s="156">
        <f t="shared" si="71"/>
        <v>7216.813000000001</v>
      </c>
      <c r="K79" s="156">
        <f t="shared" si="71"/>
        <v>7165.563000000001</v>
      </c>
      <c r="L79" s="156">
        <f t="shared" si="71"/>
        <v>7952.0435300365252</v>
      </c>
      <c r="M79" s="156">
        <f t="shared" si="71"/>
        <v>8004.9235300365244</v>
      </c>
      <c r="N79" s="156">
        <f t="shared" si="71"/>
        <v>7956.0635300365248</v>
      </c>
      <c r="O79" s="61"/>
    </row>
    <row r="80" spans="1:15" s="13" customFormat="1" ht="15" customHeight="1" x14ac:dyDescent="0.2">
      <c r="A80" s="29"/>
      <c r="B80" s="89" t="s">
        <v>101</v>
      </c>
      <c r="C80" s="101">
        <v>2190.75</v>
      </c>
      <c r="D80" s="101">
        <v>2387.83</v>
      </c>
      <c r="E80" s="102">
        <v>2396.5</v>
      </c>
      <c r="F80" s="102">
        <v>2360.83</v>
      </c>
      <c r="G80" s="157">
        <v>2338.6</v>
      </c>
      <c r="H80" s="101">
        <v>2349.63</v>
      </c>
      <c r="I80" s="101">
        <v>2605.3000000000002</v>
      </c>
      <c r="J80" s="101">
        <v>2631.86</v>
      </c>
      <c r="K80" s="101">
        <v>2580.61</v>
      </c>
      <c r="L80" s="101">
        <v>2625.93</v>
      </c>
      <c r="M80" s="101">
        <v>2678.81</v>
      </c>
      <c r="N80" s="158">
        <v>2629.95</v>
      </c>
      <c r="O80" s="61"/>
    </row>
    <row r="81" spans="1:15" s="13" customFormat="1" ht="15" customHeight="1" x14ac:dyDescent="0.2">
      <c r="A81" s="25"/>
      <c r="B81" s="90" t="s">
        <v>8</v>
      </c>
      <c r="C81" s="146">
        <v>4401.76</v>
      </c>
      <c r="D81" s="146">
        <v>4401.76</v>
      </c>
      <c r="E81" s="99">
        <v>4401.76</v>
      </c>
      <c r="F81" s="99">
        <v>4401.76</v>
      </c>
      <c r="G81" s="147">
        <v>4401.76</v>
      </c>
      <c r="H81" s="146">
        <v>4401.76</v>
      </c>
      <c r="I81" s="146">
        <v>4401.76</v>
      </c>
      <c r="J81" s="146">
        <v>4401.76</v>
      </c>
      <c r="K81" s="146">
        <v>4401.76</v>
      </c>
      <c r="L81" s="146">
        <v>5070.83</v>
      </c>
      <c r="M81" s="146">
        <v>5070.83</v>
      </c>
      <c r="N81" s="148">
        <v>5070.83</v>
      </c>
      <c r="O81" s="61"/>
    </row>
    <row r="82" spans="1:15" s="13" customFormat="1" ht="15" customHeight="1" x14ac:dyDescent="0.2">
      <c r="A82" s="29"/>
      <c r="B82" s="89" t="s">
        <v>9</v>
      </c>
      <c r="C82" s="114">
        <v>177.82999999999998</v>
      </c>
      <c r="D82" s="114">
        <v>177.82999999999998</v>
      </c>
      <c r="E82" s="115">
        <v>177.82999999999998</v>
      </c>
      <c r="F82" s="115">
        <v>177.82999999999998</v>
      </c>
      <c r="G82" s="116">
        <v>177.82999999999998</v>
      </c>
      <c r="H82" s="114">
        <v>177.82999999999998</v>
      </c>
      <c r="I82" s="114">
        <v>177.82999999999998</v>
      </c>
      <c r="J82" s="114">
        <v>177.82999999999998</v>
      </c>
      <c r="K82" s="114">
        <v>177.82999999999998</v>
      </c>
      <c r="L82" s="114">
        <v>249.16</v>
      </c>
      <c r="M82" s="114">
        <v>249.16</v>
      </c>
      <c r="N82" s="117">
        <v>249.16</v>
      </c>
      <c r="O82" s="61"/>
    </row>
    <row r="83" spans="1:15" s="13" customFormat="1" x14ac:dyDescent="0.2">
      <c r="A83" s="81"/>
      <c r="B83" s="91" t="s">
        <v>42</v>
      </c>
      <c r="C83" s="106">
        <v>5.3629999999999995</v>
      </c>
      <c r="D83" s="106">
        <v>5.3629999999999995</v>
      </c>
      <c r="E83" s="107">
        <v>5.3629999999999995</v>
      </c>
      <c r="F83" s="107">
        <v>5.3629999999999995</v>
      </c>
      <c r="G83" s="108">
        <v>5.3629999999999995</v>
      </c>
      <c r="H83" s="106">
        <v>5.3629999999999995</v>
      </c>
      <c r="I83" s="106">
        <v>5.3629999999999995</v>
      </c>
      <c r="J83" s="106">
        <v>5.3629999999999995</v>
      </c>
      <c r="K83" s="106">
        <v>5.3629999999999995</v>
      </c>
      <c r="L83" s="106">
        <v>6.1235300365250511</v>
      </c>
      <c r="M83" s="106">
        <v>6.1235300365250511</v>
      </c>
      <c r="N83" s="109">
        <v>6.1235300365250511</v>
      </c>
      <c r="O83" s="61"/>
    </row>
    <row r="84" spans="1:15" s="13" customFormat="1" ht="25.5" x14ac:dyDescent="0.2">
      <c r="A84" s="178"/>
      <c r="B84" s="87" t="s">
        <v>118</v>
      </c>
      <c r="C84" s="118">
        <f>SUM(C85:C86)</f>
        <v>1063691.4400000002</v>
      </c>
      <c r="D84" s="118">
        <f t="shared" ref="D84" si="72">SUM(D85:D86)</f>
        <v>1007002.78</v>
      </c>
      <c r="E84" s="126">
        <f t="shared" ref="E84" si="73">SUM(E85:E86)</f>
        <v>1062450.8899999999</v>
      </c>
      <c r="F84" s="126">
        <f t="shared" ref="F84" si="74">SUM(F85:F86)</f>
        <v>1056190.19</v>
      </c>
      <c r="G84" s="118">
        <f t="shared" ref="G84" si="75">SUM(G85:G86)</f>
        <v>1227142.22</v>
      </c>
      <c r="H84" s="118">
        <f t="shared" ref="H84" si="76">SUM(H85:H86)</f>
        <v>1197387.5999999999</v>
      </c>
      <c r="I84" s="118">
        <f t="shared" ref="I84" si="77">SUM(I85:I86)</f>
        <v>1200392.96</v>
      </c>
      <c r="J84" s="118">
        <f t="shared" ref="J84" si="78">SUM(J85:J86)</f>
        <v>1192228.79</v>
      </c>
      <c r="K84" s="118">
        <f t="shared" ref="K84" si="79">SUM(K85:K86)</f>
        <v>1192669.18</v>
      </c>
      <c r="L84" s="118">
        <f t="shared" ref="L84" si="80">SUM(L85:L86)</f>
        <v>1225813.8399999999</v>
      </c>
      <c r="M84" s="118">
        <f t="shared" ref="M84" si="81">SUM(M85:M86)</f>
        <v>1234126.6700000002</v>
      </c>
      <c r="N84" s="127">
        <f t="shared" ref="N84" si="82">SUM(N85:N86)</f>
        <v>1233361.28</v>
      </c>
      <c r="O84" s="61"/>
    </row>
    <row r="85" spans="1:15" s="13" customFormat="1" ht="25.5" x14ac:dyDescent="0.2">
      <c r="A85" s="178"/>
      <c r="B85" s="91" t="s">
        <v>116</v>
      </c>
      <c r="C85" s="101">
        <v>850.58</v>
      </c>
      <c r="D85" s="101">
        <v>1150.1400000000001</v>
      </c>
      <c r="E85" s="102">
        <v>1178.98</v>
      </c>
      <c r="F85" s="102">
        <v>1377.28</v>
      </c>
      <c r="G85" s="157">
        <v>1386.94</v>
      </c>
      <c r="H85" s="101">
        <v>1354.18</v>
      </c>
      <c r="I85" s="101">
        <v>1251.6600000000001</v>
      </c>
      <c r="J85" s="101">
        <v>1551.11</v>
      </c>
      <c r="K85" s="101">
        <v>1608.71</v>
      </c>
      <c r="L85" s="101">
        <v>1250.6400000000001</v>
      </c>
      <c r="M85" s="101">
        <v>1067.3599999999999</v>
      </c>
      <c r="N85" s="158">
        <v>1060.92</v>
      </c>
      <c r="O85" s="61"/>
    </row>
    <row r="86" spans="1:15" s="13" customFormat="1" ht="26.25" thickBot="1" x14ac:dyDescent="0.25">
      <c r="A86" s="82"/>
      <c r="B86" s="186" t="s">
        <v>117</v>
      </c>
      <c r="C86" s="187">
        <v>1062840.8600000001</v>
      </c>
      <c r="D86" s="187">
        <v>1005852.64</v>
      </c>
      <c r="E86" s="100">
        <v>1061271.9099999999</v>
      </c>
      <c r="F86" s="100">
        <v>1054812.9099999999</v>
      </c>
      <c r="G86" s="192">
        <v>1225755.28</v>
      </c>
      <c r="H86" s="187">
        <v>1196033.42</v>
      </c>
      <c r="I86" s="187">
        <v>1199141.3</v>
      </c>
      <c r="J86" s="187">
        <v>1190677.68</v>
      </c>
      <c r="K86" s="187">
        <v>1191060.47</v>
      </c>
      <c r="L86" s="187">
        <v>1224563.2</v>
      </c>
      <c r="M86" s="187">
        <v>1233059.31</v>
      </c>
      <c r="N86" s="188">
        <v>1232300.3600000001</v>
      </c>
    </row>
    <row r="87" spans="1:15" s="13" customFormat="1" ht="26.25" thickBot="1" x14ac:dyDescent="0.25">
      <c r="A87" s="36" t="s">
        <v>36</v>
      </c>
      <c r="B87" s="37" t="s">
        <v>11</v>
      </c>
      <c r="C87" s="20"/>
      <c r="D87" s="20"/>
      <c r="E87" s="21"/>
      <c r="F87" s="21"/>
      <c r="G87" s="66"/>
      <c r="H87" s="20"/>
      <c r="I87" s="20"/>
      <c r="J87" s="20"/>
      <c r="K87" s="20"/>
      <c r="L87" s="20"/>
      <c r="M87" s="20"/>
      <c r="N87" s="55"/>
    </row>
    <row r="88" spans="1:15" s="13" customFormat="1" ht="15" customHeight="1" x14ac:dyDescent="0.2">
      <c r="A88" s="85"/>
      <c r="B88" s="88" t="s">
        <v>61</v>
      </c>
      <c r="C88" s="159">
        <f>SUM(C89:C91)</f>
        <v>2373.9429999999998</v>
      </c>
      <c r="D88" s="159">
        <f t="shared" ref="D88:N88" si="83">SUM(D89:D91)</f>
        <v>2571.0229999999997</v>
      </c>
      <c r="E88" s="160">
        <f t="shared" si="83"/>
        <v>2579.6929999999998</v>
      </c>
      <c r="F88" s="160">
        <f t="shared" si="83"/>
        <v>2544.0229999999997</v>
      </c>
      <c r="G88" s="160">
        <f t="shared" si="83"/>
        <v>2521.7929999999997</v>
      </c>
      <c r="H88" s="160">
        <f t="shared" si="83"/>
        <v>2532.8229999999999</v>
      </c>
      <c r="I88" s="160">
        <f t="shared" si="83"/>
        <v>2788.4929999999999</v>
      </c>
      <c r="J88" s="160">
        <f t="shared" si="83"/>
        <v>2815.0529999999999</v>
      </c>
      <c r="K88" s="160">
        <f t="shared" si="83"/>
        <v>2763.8029999999999</v>
      </c>
      <c r="L88" s="160">
        <f t="shared" si="83"/>
        <v>2881.2135300365248</v>
      </c>
      <c r="M88" s="160">
        <f t="shared" si="83"/>
        <v>2934.093530036525</v>
      </c>
      <c r="N88" s="161">
        <f t="shared" si="83"/>
        <v>2885.2335300365248</v>
      </c>
    </row>
    <row r="89" spans="1:15" s="13" customFormat="1" ht="15" customHeight="1" x14ac:dyDescent="0.2">
      <c r="A89" s="25"/>
      <c r="B89" s="89" t="s">
        <v>101</v>
      </c>
      <c r="C89" s="101">
        <f t="shared" ref="C89:N89" si="84">C80</f>
        <v>2190.75</v>
      </c>
      <c r="D89" s="101">
        <f t="shared" si="84"/>
        <v>2387.83</v>
      </c>
      <c r="E89" s="102">
        <f t="shared" si="84"/>
        <v>2396.5</v>
      </c>
      <c r="F89" s="102">
        <f t="shared" si="84"/>
        <v>2360.83</v>
      </c>
      <c r="G89" s="157">
        <f t="shared" si="84"/>
        <v>2338.6</v>
      </c>
      <c r="H89" s="101">
        <f t="shared" si="84"/>
        <v>2349.63</v>
      </c>
      <c r="I89" s="101">
        <f t="shared" si="84"/>
        <v>2605.3000000000002</v>
      </c>
      <c r="J89" s="101">
        <f t="shared" si="84"/>
        <v>2631.86</v>
      </c>
      <c r="K89" s="101">
        <f t="shared" si="84"/>
        <v>2580.61</v>
      </c>
      <c r="L89" s="101">
        <f t="shared" si="84"/>
        <v>2625.93</v>
      </c>
      <c r="M89" s="101">
        <f t="shared" si="84"/>
        <v>2678.81</v>
      </c>
      <c r="N89" s="158">
        <f t="shared" si="84"/>
        <v>2629.95</v>
      </c>
    </row>
    <row r="90" spans="1:15" s="13" customFormat="1" ht="15" customHeight="1" x14ac:dyDescent="0.2">
      <c r="A90" s="40"/>
      <c r="B90" s="90" t="s">
        <v>9</v>
      </c>
      <c r="C90" s="114">
        <f t="shared" ref="C90:N90" si="85">C82</f>
        <v>177.82999999999998</v>
      </c>
      <c r="D90" s="114">
        <f t="shared" si="85"/>
        <v>177.82999999999998</v>
      </c>
      <c r="E90" s="115">
        <f t="shared" si="85"/>
        <v>177.82999999999998</v>
      </c>
      <c r="F90" s="115">
        <f t="shared" si="85"/>
        <v>177.82999999999998</v>
      </c>
      <c r="G90" s="121">
        <f t="shared" si="85"/>
        <v>177.82999999999998</v>
      </c>
      <c r="H90" s="115">
        <f t="shared" si="85"/>
        <v>177.82999999999998</v>
      </c>
      <c r="I90" s="115">
        <f t="shared" si="85"/>
        <v>177.82999999999998</v>
      </c>
      <c r="J90" s="115">
        <f t="shared" si="85"/>
        <v>177.82999999999998</v>
      </c>
      <c r="K90" s="115">
        <f t="shared" si="85"/>
        <v>177.82999999999998</v>
      </c>
      <c r="L90" s="115">
        <f t="shared" si="85"/>
        <v>249.16</v>
      </c>
      <c r="M90" s="115">
        <f t="shared" si="85"/>
        <v>249.16</v>
      </c>
      <c r="N90" s="122">
        <f t="shared" si="85"/>
        <v>249.16</v>
      </c>
    </row>
    <row r="91" spans="1:15" s="13" customFormat="1" ht="15" customHeight="1" x14ac:dyDescent="0.2">
      <c r="A91" s="81"/>
      <c r="B91" s="91" t="s">
        <v>42</v>
      </c>
      <c r="C91" s="106">
        <f t="shared" ref="C91:N91" si="86">C83</f>
        <v>5.3629999999999995</v>
      </c>
      <c r="D91" s="106">
        <f t="shared" si="86"/>
        <v>5.3629999999999995</v>
      </c>
      <c r="E91" s="107">
        <f t="shared" si="86"/>
        <v>5.3629999999999995</v>
      </c>
      <c r="F91" s="107">
        <f t="shared" si="86"/>
        <v>5.3629999999999995</v>
      </c>
      <c r="G91" s="108">
        <f t="shared" si="86"/>
        <v>5.3629999999999995</v>
      </c>
      <c r="H91" s="106">
        <f t="shared" si="86"/>
        <v>5.3629999999999995</v>
      </c>
      <c r="I91" s="106">
        <f t="shared" si="86"/>
        <v>5.3629999999999995</v>
      </c>
      <c r="J91" s="106">
        <f t="shared" si="86"/>
        <v>5.3629999999999995</v>
      </c>
      <c r="K91" s="106">
        <f t="shared" si="86"/>
        <v>5.3629999999999995</v>
      </c>
      <c r="L91" s="106">
        <f t="shared" si="86"/>
        <v>6.1235300365250511</v>
      </c>
      <c r="M91" s="106">
        <f t="shared" si="86"/>
        <v>6.1235300365250511</v>
      </c>
      <c r="N91" s="109">
        <f t="shared" si="86"/>
        <v>6.1235300365250511</v>
      </c>
    </row>
    <row r="92" spans="1:15" s="13" customFormat="1" ht="25.5" x14ac:dyDescent="0.2">
      <c r="A92" s="81"/>
      <c r="B92" s="87" t="s">
        <v>118</v>
      </c>
      <c r="C92" s="118">
        <f>SUM(C93:C94)</f>
        <v>1063691.4400000002</v>
      </c>
      <c r="D92" s="118">
        <f t="shared" ref="D92" si="87">SUM(D93:D94)</f>
        <v>1007002.78</v>
      </c>
      <c r="E92" s="126">
        <f t="shared" ref="E92" si="88">SUM(E93:E94)</f>
        <v>1062450.8899999999</v>
      </c>
      <c r="F92" s="126">
        <f t="shared" ref="F92" si="89">SUM(F93:F94)</f>
        <v>1056190.19</v>
      </c>
      <c r="G92" s="118">
        <f t="shared" ref="G92" si="90">SUM(G93:G94)</f>
        <v>1227142.22</v>
      </c>
      <c r="H92" s="118">
        <f t="shared" ref="H92" si="91">SUM(H93:H94)</f>
        <v>1197387.5999999999</v>
      </c>
      <c r="I92" s="118">
        <f t="shared" ref="I92" si="92">SUM(I93:I94)</f>
        <v>1200392.96</v>
      </c>
      <c r="J92" s="118">
        <f t="shared" ref="J92" si="93">SUM(J93:J94)</f>
        <v>1192228.79</v>
      </c>
      <c r="K92" s="118">
        <f t="shared" ref="K92" si="94">SUM(K93:K94)</f>
        <v>1192669.18</v>
      </c>
      <c r="L92" s="118">
        <f t="shared" ref="L92" si="95">SUM(L93:L94)</f>
        <v>1225813.8399999999</v>
      </c>
      <c r="M92" s="118">
        <f t="shared" ref="M92" si="96">SUM(M93:M94)</f>
        <v>1234126.6700000002</v>
      </c>
      <c r="N92" s="127">
        <f t="shared" ref="N92" si="97">SUM(N93:N94)</f>
        <v>1233361.28</v>
      </c>
    </row>
    <row r="93" spans="1:15" s="13" customFormat="1" ht="25.5" x14ac:dyDescent="0.2">
      <c r="A93" s="81"/>
      <c r="B93" s="91" t="s">
        <v>116</v>
      </c>
      <c r="C93" s="101">
        <v>850.58</v>
      </c>
      <c r="D93" s="101">
        <v>1150.1400000000001</v>
      </c>
      <c r="E93" s="102">
        <v>1178.98</v>
      </c>
      <c r="F93" s="102">
        <v>1377.28</v>
      </c>
      <c r="G93" s="157">
        <v>1386.94</v>
      </c>
      <c r="H93" s="101">
        <v>1354.18</v>
      </c>
      <c r="I93" s="101">
        <v>1251.6600000000001</v>
      </c>
      <c r="J93" s="101">
        <v>1551.11</v>
      </c>
      <c r="K93" s="101">
        <v>1608.71</v>
      </c>
      <c r="L93" s="101">
        <v>1250.6400000000001</v>
      </c>
      <c r="M93" s="101">
        <v>1067.3599999999999</v>
      </c>
      <c r="N93" s="158">
        <v>1060.92</v>
      </c>
    </row>
    <row r="94" spans="1:15" s="13" customFormat="1" ht="26.25" thickBot="1" x14ac:dyDescent="0.25">
      <c r="A94" s="32"/>
      <c r="B94" s="186" t="s">
        <v>117</v>
      </c>
      <c r="C94" s="187">
        <v>1062840.8600000001</v>
      </c>
      <c r="D94" s="187">
        <v>1005852.64</v>
      </c>
      <c r="E94" s="100">
        <v>1061271.9099999999</v>
      </c>
      <c r="F94" s="100">
        <v>1054812.9099999999</v>
      </c>
      <c r="G94" s="192">
        <v>1225755.28</v>
      </c>
      <c r="H94" s="187">
        <v>1196033.42</v>
      </c>
      <c r="I94" s="187">
        <v>1199141.3</v>
      </c>
      <c r="J94" s="187">
        <v>1190677.68</v>
      </c>
      <c r="K94" s="187">
        <v>1191060.47</v>
      </c>
      <c r="L94" s="187">
        <v>1224563.2</v>
      </c>
      <c r="M94" s="187">
        <v>1233059.31</v>
      </c>
      <c r="N94" s="188">
        <v>1232300.3600000001</v>
      </c>
    </row>
    <row r="95" spans="1:15" ht="15" customHeight="1" x14ac:dyDescent="0.2"/>
    <row r="96" spans="1:15" ht="15" customHeight="1" x14ac:dyDescent="0.2"/>
    <row r="97" spans="1:15" ht="87.75" customHeight="1" x14ac:dyDescent="0.2">
      <c r="A97" s="200" t="s">
        <v>114</v>
      </c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69"/>
    </row>
    <row r="98" spans="1:15" ht="30" customHeight="1" x14ac:dyDescent="0.2">
      <c r="A98" s="199" t="s">
        <v>115</v>
      </c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</row>
  </sheetData>
  <mergeCells count="11">
    <mergeCell ref="D33:N33"/>
    <mergeCell ref="D55:N55"/>
    <mergeCell ref="D77:N77"/>
    <mergeCell ref="A97:N97"/>
    <mergeCell ref="A98:N98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8433" r:id="rId4">
          <objectPr defaultSize="0" autoPict="0" r:id="rId5">
            <anchor moveWithCells="1" sizeWithCells="1">
              <from>
                <xdr:col>1</xdr:col>
                <xdr:colOff>0</xdr:colOff>
                <xdr:row>95</xdr:row>
                <xdr:rowOff>0</xdr:rowOff>
              </from>
              <to>
                <xdr:col>1</xdr:col>
                <xdr:colOff>142875</xdr:colOff>
                <xdr:row>95</xdr:row>
                <xdr:rowOff>0</xdr:rowOff>
              </to>
            </anchor>
          </objectPr>
        </oleObject>
      </mc:Choice>
      <mc:Fallback>
        <oleObject progId="Equation.3" shapeId="18433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00FF99"/>
  </sheetPr>
  <dimension ref="A1:P15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6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6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6" s="57" customFormat="1" ht="18" customHeight="1" x14ac:dyDescent="0.2">
      <c r="A3" s="205" t="s">
        <v>58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6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6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6" s="58" customFormat="1" ht="14.2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6" s="58" customFormat="1" ht="34.5" customHeight="1" x14ac:dyDescent="0.25">
      <c r="A7" s="206" t="s">
        <v>63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6" s="59" customFormat="1" ht="17.25" customHeight="1" x14ac:dyDescent="0.2">
      <c r="A8" s="8"/>
      <c r="B8" s="43"/>
      <c r="C8" s="43"/>
      <c r="D8" s="43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6" s="59" customFormat="1" ht="21" customHeight="1" thickBot="1" x14ac:dyDescent="0.25">
      <c r="A9" s="7" t="s">
        <v>86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6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6" s="17" customFormat="1" ht="21" customHeight="1" thickBot="1" x14ac:dyDescent="0.25">
      <c r="A11" s="14" t="s">
        <v>4</v>
      </c>
      <c r="B11" s="15" t="s">
        <v>5</v>
      </c>
      <c r="C11" s="70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6" s="17" customFormat="1" ht="13.5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6" s="13" customFormat="1" ht="15" customHeight="1" x14ac:dyDescent="0.2">
      <c r="A13" s="80"/>
      <c r="B13" s="86" t="s">
        <v>61</v>
      </c>
      <c r="C13" s="155">
        <f>SUM(C14:C17)</f>
        <v>2454.5229999999997</v>
      </c>
      <c r="D13" s="155">
        <f t="shared" ref="D13:N13" si="0">SUM(D14:D17)</f>
        <v>2651.6029999999996</v>
      </c>
      <c r="E13" s="156">
        <f t="shared" si="0"/>
        <v>2660.2729999999997</v>
      </c>
      <c r="F13" s="156">
        <f t="shared" si="0"/>
        <v>2624.6029999999996</v>
      </c>
      <c r="G13" s="156">
        <f t="shared" si="0"/>
        <v>2602.3729999999996</v>
      </c>
      <c r="H13" s="156">
        <f t="shared" si="0"/>
        <v>2613.4029999999998</v>
      </c>
      <c r="I13" s="156">
        <f t="shared" si="0"/>
        <v>2869.0729999999999</v>
      </c>
      <c r="J13" s="156">
        <f t="shared" si="0"/>
        <v>2895.6329999999998</v>
      </c>
      <c r="K13" s="156">
        <f t="shared" si="0"/>
        <v>2844.3829999999998</v>
      </c>
      <c r="L13" s="156">
        <f t="shared" si="0"/>
        <v>2974.0435300365248</v>
      </c>
      <c r="M13" s="156">
        <f t="shared" si="0"/>
        <v>3026.9235300365249</v>
      </c>
      <c r="N13" s="156">
        <f t="shared" si="0"/>
        <v>2978.0635300365248</v>
      </c>
      <c r="O13" s="61"/>
      <c r="P13" s="17"/>
    </row>
    <row r="14" spans="1:16" s="13" customFormat="1" ht="15" customHeight="1" x14ac:dyDescent="0.2">
      <c r="A14" s="29"/>
      <c r="B14" s="89" t="s">
        <v>101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6" s="13" customFormat="1" ht="15" customHeight="1" x14ac:dyDescent="0.2">
      <c r="A15" s="25"/>
      <c r="B15" s="90" t="s">
        <v>64</v>
      </c>
      <c r="C15" s="114">
        <v>80.58</v>
      </c>
      <c r="D15" s="114">
        <v>80.58</v>
      </c>
      <c r="E15" s="115">
        <v>80.58</v>
      </c>
      <c r="F15" s="115">
        <v>80.58</v>
      </c>
      <c r="G15" s="116">
        <v>80.58</v>
      </c>
      <c r="H15" s="114">
        <v>80.58</v>
      </c>
      <c r="I15" s="114">
        <v>80.58</v>
      </c>
      <c r="J15" s="114">
        <v>80.58</v>
      </c>
      <c r="K15" s="114">
        <v>80.58</v>
      </c>
      <c r="L15" s="114">
        <v>92.83</v>
      </c>
      <c r="M15" s="114">
        <v>92.83</v>
      </c>
      <c r="N15" s="117">
        <v>92.83</v>
      </c>
      <c r="O15" s="61"/>
    </row>
    <row r="16" spans="1:16" s="13" customFormat="1" ht="15" customHeight="1" x14ac:dyDescent="0.2">
      <c r="A16" s="29"/>
      <c r="B16" s="89" t="s">
        <v>9</v>
      </c>
      <c r="C16" s="114">
        <v>177.82999999999998</v>
      </c>
      <c r="D16" s="114">
        <v>177.82999999999998</v>
      </c>
      <c r="E16" s="115">
        <v>177.82999999999998</v>
      </c>
      <c r="F16" s="115">
        <v>177.82999999999998</v>
      </c>
      <c r="G16" s="116">
        <v>177.82999999999998</v>
      </c>
      <c r="H16" s="114">
        <v>177.82999999999998</v>
      </c>
      <c r="I16" s="114">
        <v>177.82999999999998</v>
      </c>
      <c r="J16" s="114">
        <v>177.82999999999998</v>
      </c>
      <c r="K16" s="114">
        <v>177.82999999999998</v>
      </c>
      <c r="L16" s="114">
        <v>249.16</v>
      </c>
      <c r="M16" s="114">
        <v>249.16</v>
      </c>
      <c r="N16" s="117">
        <v>249.16</v>
      </c>
      <c r="O16" s="61"/>
    </row>
    <row r="17" spans="1:16" s="13" customForma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6" s="13" customFormat="1" ht="15" customHeight="1" x14ac:dyDescent="0.2">
      <c r="A18" s="82"/>
      <c r="B18" s="87" t="s">
        <v>62</v>
      </c>
      <c r="C18" s="118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8">
        <f t="shared" si="1"/>
        <v>1227142.22</v>
      </c>
      <c r="H18" s="118">
        <f t="shared" si="1"/>
        <v>1197387.5999999999</v>
      </c>
      <c r="I18" s="119">
        <f t="shared" si="1"/>
        <v>1200392.96</v>
      </c>
      <c r="J18" s="118">
        <f t="shared" si="1"/>
        <v>1192228.79</v>
      </c>
      <c r="K18" s="119">
        <f t="shared" si="1"/>
        <v>1192669.18</v>
      </c>
      <c r="L18" s="118">
        <f t="shared" si="1"/>
        <v>1225813.8399999999</v>
      </c>
      <c r="M18" s="119">
        <f t="shared" si="1"/>
        <v>1234126.6700000002</v>
      </c>
      <c r="N18" s="118">
        <f t="shared" si="1"/>
        <v>1233361.28</v>
      </c>
    </row>
    <row r="19" spans="1:16" s="13" customFormat="1" ht="25.5" x14ac:dyDescent="0.2">
      <c r="A19" s="178"/>
      <c r="B19" s="91" t="s">
        <v>116</v>
      </c>
      <c r="C19" s="118">
        <v>850.58</v>
      </c>
      <c r="D19" s="118">
        <v>1150.1400000000001</v>
      </c>
      <c r="E19" s="126">
        <v>1178.98</v>
      </c>
      <c r="F19" s="126">
        <v>1377.28</v>
      </c>
      <c r="G19" s="118">
        <v>1386.94</v>
      </c>
      <c r="H19" s="118">
        <v>1354.18</v>
      </c>
      <c r="I19" s="118">
        <v>1251.6600000000001</v>
      </c>
      <c r="J19" s="118">
        <v>1551.11</v>
      </c>
      <c r="K19" s="118">
        <v>1608.71</v>
      </c>
      <c r="L19" s="118">
        <v>1250.6400000000001</v>
      </c>
      <c r="M19" s="118">
        <v>1067.3599999999999</v>
      </c>
      <c r="N19" s="127">
        <v>1060.92</v>
      </c>
    </row>
    <row r="20" spans="1:16" s="13" customFormat="1" ht="25.5" x14ac:dyDescent="0.2">
      <c r="A20" s="178"/>
      <c r="B20" s="91" t="s">
        <v>117</v>
      </c>
      <c r="C20" s="101">
        <v>1062840.8600000001</v>
      </c>
      <c r="D20" s="101">
        <v>1005852.64</v>
      </c>
      <c r="E20" s="102">
        <v>1061271.9099999999</v>
      </c>
      <c r="F20" s="102">
        <v>1054812.9099999999</v>
      </c>
      <c r="G20" s="157">
        <v>1225755.28</v>
      </c>
      <c r="H20" s="101">
        <v>1196033.42</v>
      </c>
      <c r="I20" s="101">
        <v>1199141.3</v>
      </c>
      <c r="J20" s="101">
        <v>1190677.68</v>
      </c>
      <c r="K20" s="101">
        <v>1191060.47</v>
      </c>
      <c r="L20" s="101">
        <v>1224563.2</v>
      </c>
      <c r="M20" s="101">
        <v>1233059.31</v>
      </c>
      <c r="N20" s="158">
        <v>1232300.3600000001</v>
      </c>
    </row>
    <row r="21" spans="1:16" s="13" customFormat="1" ht="26.25" thickBot="1" x14ac:dyDescent="0.25">
      <c r="A21" s="84"/>
      <c r="B21" s="92" t="s">
        <v>65</v>
      </c>
      <c r="C21" s="123">
        <v>685440.35</v>
      </c>
      <c r="D21" s="123">
        <v>685440.35</v>
      </c>
      <c r="E21" s="124">
        <v>685440.35</v>
      </c>
      <c r="F21" s="124">
        <v>685440.35</v>
      </c>
      <c r="G21" s="193">
        <v>685440.35</v>
      </c>
      <c r="H21" s="123">
        <v>685440.35</v>
      </c>
      <c r="I21" s="123">
        <v>685440.35</v>
      </c>
      <c r="J21" s="123">
        <v>685440.35</v>
      </c>
      <c r="K21" s="123">
        <v>685440.35</v>
      </c>
      <c r="L21" s="123">
        <v>789627.28</v>
      </c>
      <c r="M21" s="123">
        <v>789627.28</v>
      </c>
      <c r="N21" s="125">
        <v>789627.28</v>
      </c>
    </row>
    <row r="22" spans="1:16" s="13" customFormat="1" ht="26.25" thickBot="1" x14ac:dyDescent="0.25">
      <c r="A22" s="36" t="s">
        <v>10</v>
      </c>
      <c r="B22" s="37" t="s">
        <v>11</v>
      </c>
      <c r="C22" s="20"/>
      <c r="D22" s="20"/>
      <c r="E22" s="21"/>
      <c r="F22" s="21"/>
      <c r="G22" s="66"/>
      <c r="H22" s="20"/>
      <c r="I22" s="20"/>
      <c r="J22" s="20"/>
      <c r="K22" s="20"/>
      <c r="L22" s="20"/>
      <c r="M22" s="20"/>
      <c r="N22" s="55"/>
    </row>
    <row r="23" spans="1:16" s="13" customFormat="1" ht="15" customHeight="1" x14ac:dyDescent="0.2">
      <c r="A23" s="85"/>
      <c r="B23" s="88" t="s">
        <v>61</v>
      </c>
      <c r="C23" s="159">
        <f>SUM(C24:C26)</f>
        <v>2373.9429999999998</v>
      </c>
      <c r="D23" s="159">
        <f t="shared" ref="D23:N23" si="2">SUM(D24:D26)</f>
        <v>2571.0229999999997</v>
      </c>
      <c r="E23" s="160">
        <f t="shared" si="2"/>
        <v>2579.6929999999998</v>
      </c>
      <c r="F23" s="160">
        <f t="shared" si="2"/>
        <v>2544.0229999999997</v>
      </c>
      <c r="G23" s="160">
        <f t="shared" si="2"/>
        <v>2521.7929999999997</v>
      </c>
      <c r="H23" s="160">
        <f t="shared" si="2"/>
        <v>2532.8229999999999</v>
      </c>
      <c r="I23" s="160">
        <f t="shared" si="2"/>
        <v>2788.4929999999999</v>
      </c>
      <c r="J23" s="160">
        <f t="shared" si="2"/>
        <v>2815.0529999999999</v>
      </c>
      <c r="K23" s="160">
        <f t="shared" si="2"/>
        <v>2763.8029999999999</v>
      </c>
      <c r="L23" s="160">
        <f t="shared" si="2"/>
        <v>2881.2135300365248</v>
      </c>
      <c r="M23" s="160">
        <f t="shared" si="2"/>
        <v>2934.093530036525</v>
      </c>
      <c r="N23" s="161">
        <f t="shared" si="2"/>
        <v>2885.2335300365248</v>
      </c>
    </row>
    <row r="24" spans="1:16" s="13" customFormat="1" ht="15" customHeight="1" x14ac:dyDescent="0.2">
      <c r="A24" s="25"/>
      <c r="B24" s="89" t="s">
        <v>101</v>
      </c>
      <c r="C24" s="101">
        <f>C14</f>
        <v>2190.75</v>
      </c>
      <c r="D24" s="101">
        <f t="shared" ref="D24:N24" si="3">D14</f>
        <v>2387.83</v>
      </c>
      <c r="E24" s="102">
        <f t="shared" si="3"/>
        <v>2396.5</v>
      </c>
      <c r="F24" s="102">
        <f t="shared" si="3"/>
        <v>2360.83</v>
      </c>
      <c r="G24" s="157">
        <f t="shared" si="3"/>
        <v>2338.6</v>
      </c>
      <c r="H24" s="101">
        <f t="shared" si="3"/>
        <v>2349.63</v>
      </c>
      <c r="I24" s="101">
        <f t="shared" si="3"/>
        <v>2605.3000000000002</v>
      </c>
      <c r="J24" s="101">
        <f t="shared" si="3"/>
        <v>2631.86</v>
      </c>
      <c r="K24" s="101">
        <f t="shared" si="3"/>
        <v>2580.61</v>
      </c>
      <c r="L24" s="101">
        <f t="shared" si="3"/>
        <v>2625.93</v>
      </c>
      <c r="M24" s="101">
        <f t="shared" si="3"/>
        <v>2678.81</v>
      </c>
      <c r="N24" s="158">
        <f t="shared" si="3"/>
        <v>2629.95</v>
      </c>
    </row>
    <row r="25" spans="1:16" s="13" customFormat="1" ht="15" customHeight="1" x14ac:dyDescent="0.2">
      <c r="A25" s="40"/>
      <c r="B25" s="90" t="s">
        <v>9</v>
      </c>
      <c r="C25" s="114">
        <f t="shared" ref="C25:N25" si="4">C16</f>
        <v>177.82999999999998</v>
      </c>
      <c r="D25" s="114">
        <f t="shared" si="4"/>
        <v>177.82999999999998</v>
      </c>
      <c r="E25" s="115">
        <f t="shared" si="4"/>
        <v>177.82999999999998</v>
      </c>
      <c r="F25" s="115">
        <f t="shared" si="4"/>
        <v>177.82999999999998</v>
      </c>
      <c r="G25" s="121">
        <f t="shared" si="4"/>
        <v>177.82999999999998</v>
      </c>
      <c r="H25" s="115">
        <f t="shared" si="4"/>
        <v>177.82999999999998</v>
      </c>
      <c r="I25" s="115">
        <f t="shared" si="4"/>
        <v>177.82999999999998</v>
      </c>
      <c r="J25" s="115">
        <f t="shared" si="4"/>
        <v>177.82999999999998</v>
      </c>
      <c r="K25" s="115">
        <f t="shared" si="4"/>
        <v>177.82999999999998</v>
      </c>
      <c r="L25" s="115">
        <f t="shared" si="4"/>
        <v>249.16</v>
      </c>
      <c r="M25" s="115">
        <f t="shared" si="4"/>
        <v>249.16</v>
      </c>
      <c r="N25" s="122">
        <f t="shared" si="4"/>
        <v>249.16</v>
      </c>
    </row>
    <row r="26" spans="1:16" s="13" customFormat="1" ht="15" customHeight="1" x14ac:dyDescent="0.2">
      <c r="A26" s="81"/>
      <c r="B26" s="91" t="s">
        <v>42</v>
      </c>
      <c r="C26" s="106">
        <f>C17</f>
        <v>5.3629999999999995</v>
      </c>
      <c r="D26" s="106">
        <f t="shared" ref="D26:N26" si="5">D17</f>
        <v>5.3629999999999995</v>
      </c>
      <c r="E26" s="107">
        <f t="shared" si="5"/>
        <v>5.3629999999999995</v>
      </c>
      <c r="F26" s="107">
        <f t="shared" si="5"/>
        <v>5.3629999999999995</v>
      </c>
      <c r="G26" s="108">
        <f t="shared" si="5"/>
        <v>5.3629999999999995</v>
      </c>
      <c r="H26" s="106">
        <f t="shared" si="5"/>
        <v>5.3629999999999995</v>
      </c>
      <c r="I26" s="106">
        <f t="shared" si="5"/>
        <v>5.3629999999999995</v>
      </c>
      <c r="J26" s="106">
        <f t="shared" si="5"/>
        <v>5.3629999999999995</v>
      </c>
      <c r="K26" s="106">
        <f t="shared" si="5"/>
        <v>5.3629999999999995</v>
      </c>
      <c r="L26" s="106">
        <f t="shared" si="5"/>
        <v>6.1235300365250511</v>
      </c>
      <c r="M26" s="106">
        <f t="shared" si="5"/>
        <v>6.1235300365250511</v>
      </c>
      <c r="N26" s="109">
        <f t="shared" si="5"/>
        <v>6.1235300365250511</v>
      </c>
    </row>
    <row r="27" spans="1:16" s="13" customFormat="1" ht="25.5" x14ac:dyDescent="0.2">
      <c r="A27" s="81"/>
      <c r="B27" s="87" t="s">
        <v>118</v>
      </c>
      <c r="C27" s="118">
        <f>SUM(C28:C29)</f>
        <v>1063691.4400000002</v>
      </c>
      <c r="D27" s="118">
        <f t="shared" ref="D27:N27" si="6">SUM(D28:D29)</f>
        <v>1007002.78</v>
      </c>
      <c r="E27" s="126">
        <f t="shared" si="6"/>
        <v>1062450.8899999999</v>
      </c>
      <c r="F27" s="126">
        <f t="shared" si="6"/>
        <v>1056190.19</v>
      </c>
      <c r="G27" s="118">
        <f t="shared" si="6"/>
        <v>1227142.22</v>
      </c>
      <c r="H27" s="118">
        <f t="shared" si="6"/>
        <v>1197387.5999999999</v>
      </c>
      <c r="I27" s="118">
        <f t="shared" si="6"/>
        <v>1200392.96</v>
      </c>
      <c r="J27" s="118">
        <f t="shared" si="6"/>
        <v>1192228.79</v>
      </c>
      <c r="K27" s="118">
        <f t="shared" si="6"/>
        <v>1192669.18</v>
      </c>
      <c r="L27" s="118">
        <f t="shared" si="6"/>
        <v>1225813.8399999999</v>
      </c>
      <c r="M27" s="118">
        <f t="shared" si="6"/>
        <v>1234126.6700000002</v>
      </c>
      <c r="N27" s="127">
        <f t="shared" si="6"/>
        <v>1233361.28</v>
      </c>
    </row>
    <row r="28" spans="1:16" s="13" customFormat="1" ht="25.5" x14ac:dyDescent="0.2">
      <c r="A28" s="81"/>
      <c r="B28" s="91" t="s">
        <v>116</v>
      </c>
      <c r="C28" s="101">
        <v>850.58</v>
      </c>
      <c r="D28" s="101">
        <v>1150.1400000000001</v>
      </c>
      <c r="E28" s="102">
        <v>1178.98</v>
      </c>
      <c r="F28" s="102">
        <v>1377.28</v>
      </c>
      <c r="G28" s="157">
        <v>1386.94</v>
      </c>
      <c r="H28" s="101">
        <v>1354.18</v>
      </c>
      <c r="I28" s="101">
        <v>1251.6600000000001</v>
      </c>
      <c r="J28" s="101">
        <v>1551.11</v>
      </c>
      <c r="K28" s="101">
        <v>1608.71</v>
      </c>
      <c r="L28" s="101">
        <v>1250.6400000000001</v>
      </c>
      <c r="M28" s="101">
        <v>1067.3599999999999</v>
      </c>
      <c r="N28" s="158">
        <v>1060.92</v>
      </c>
    </row>
    <row r="29" spans="1:16" s="13" customFormat="1" ht="26.25" thickBot="1" x14ac:dyDescent="0.25">
      <c r="A29" s="32"/>
      <c r="B29" s="186" t="s">
        <v>117</v>
      </c>
      <c r="C29" s="187">
        <v>1062840.8600000001</v>
      </c>
      <c r="D29" s="187">
        <v>1005852.64</v>
      </c>
      <c r="E29" s="100">
        <v>1061271.9099999999</v>
      </c>
      <c r="F29" s="100">
        <v>1054812.9099999999</v>
      </c>
      <c r="G29" s="192">
        <v>1225755.28</v>
      </c>
      <c r="H29" s="187">
        <v>1196033.42</v>
      </c>
      <c r="I29" s="187">
        <v>1199141.3</v>
      </c>
      <c r="J29" s="187">
        <v>1190677.68</v>
      </c>
      <c r="K29" s="187">
        <v>1191060.47</v>
      </c>
      <c r="L29" s="187">
        <v>1224563.2</v>
      </c>
      <c r="M29" s="187">
        <v>1233059.31</v>
      </c>
      <c r="N29" s="188">
        <v>1232300.3600000001</v>
      </c>
      <c r="P29" s="60"/>
    </row>
    <row r="30" spans="1:16" s="13" customFormat="1" ht="15" thickBot="1" x14ac:dyDescent="0.25">
      <c r="A30" s="36" t="s">
        <v>89</v>
      </c>
      <c r="B30" s="37" t="s">
        <v>66</v>
      </c>
      <c r="C30" s="20"/>
      <c r="D30" s="20"/>
      <c r="E30" s="21"/>
      <c r="F30" s="21"/>
      <c r="G30" s="66"/>
      <c r="H30" s="20"/>
      <c r="I30" s="20"/>
      <c r="J30" s="20"/>
      <c r="K30" s="20"/>
      <c r="L30" s="20"/>
      <c r="M30" s="20"/>
      <c r="N30" s="55"/>
    </row>
    <row r="31" spans="1:16" s="13" customFormat="1" ht="14.25" customHeight="1" x14ac:dyDescent="0.2">
      <c r="A31" s="85"/>
      <c r="B31" s="88" t="s">
        <v>61</v>
      </c>
      <c r="C31" s="159">
        <f>SUM(C32:C34)</f>
        <v>2373.9429999999998</v>
      </c>
      <c r="D31" s="159">
        <f t="shared" ref="D31" si="7">SUM(D32:D34)</f>
        <v>2571.0229999999997</v>
      </c>
      <c r="E31" s="160">
        <f t="shared" ref="E31" si="8">SUM(E32:E34)</f>
        <v>2579.6929999999998</v>
      </c>
      <c r="F31" s="160">
        <f t="shared" ref="F31" si="9">SUM(F32:F34)</f>
        <v>2544.0229999999997</v>
      </c>
      <c r="G31" s="160">
        <f t="shared" ref="G31" si="10">SUM(G32:G34)</f>
        <v>2521.7929999999997</v>
      </c>
      <c r="H31" s="160">
        <f t="shared" ref="H31" si="11">SUM(H32:H34)</f>
        <v>2532.8229999999999</v>
      </c>
      <c r="I31" s="160">
        <f t="shared" ref="I31" si="12">SUM(I32:I34)</f>
        <v>2788.4929999999999</v>
      </c>
      <c r="J31" s="160">
        <f t="shared" ref="J31" si="13">SUM(J32:J34)</f>
        <v>2815.0529999999999</v>
      </c>
      <c r="K31" s="160">
        <f t="shared" ref="K31" si="14">SUM(K32:K34)</f>
        <v>2763.8029999999999</v>
      </c>
      <c r="L31" s="160">
        <f t="shared" ref="L31" si="15">SUM(L32:L34)</f>
        <v>2881.2135300365248</v>
      </c>
      <c r="M31" s="160">
        <f t="shared" ref="M31" si="16">SUM(M32:M34)</f>
        <v>2934.093530036525</v>
      </c>
      <c r="N31" s="161">
        <f t="shared" ref="N31" si="17">SUM(N32:N34)</f>
        <v>2885.2335300365248</v>
      </c>
    </row>
    <row r="32" spans="1:16" s="13" customFormat="1" x14ac:dyDescent="0.2">
      <c r="A32" s="25"/>
      <c r="B32" s="89" t="s">
        <v>101</v>
      </c>
      <c r="C32" s="101">
        <f t="shared" ref="C32:N32" si="18">C14</f>
        <v>2190.75</v>
      </c>
      <c r="D32" s="101">
        <f t="shared" si="18"/>
        <v>2387.83</v>
      </c>
      <c r="E32" s="102">
        <f t="shared" si="18"/>
        <v>2396.5</v>
      </c>
      <c r="F32" s="102">
        <f t="shared" si="18"/>
        <v>2360.83</v>
      </c>
      <c r="G32" s="157">
        <f t="shared" si="18"/>
        <v>2338.6</v>
      </c>
      <c r="H32" s="101">
        <f t="shared" si="18"/>
        <v>2349.63</v>
      </c>
      <c r="I32" s="101">
        <f t="shared" si="18"/>
        <v>2605.3000000000002</v>
      </c>
      <c r="J32" s="101">
        <f t="shared" si="18"/>
        <v>2631.86</v>
      </c>
      <c r="K32" s="101">
        <f t="shared" si="18"/>
        <v>2580.61</v>
      </c>
      <c r="L32" s="101">
        <f t="shared" si="18"/>
        <v>2625.93</v>
      </c>
      <c r="M32" s="101">
        <f t="shared" si="18"/>
        <v>2678.81</v>
      </c>
      <c r="N32" s="158">
        <f t="shared" si="18"/>
        <v>2629.95</v>
      </c>
    </row>
    <row r="33" spans="1:15" s="13" customFormat="1" x14ac:dyDescent="0.2">
      <c r="A33" s="40"/>
      <c r="B33" s="90" t="s">
        <v>9</v>
      </c>
      <c r="C33" s="114">
        <f t="shared" ref="C33:N33" si="19">C16</f>
        <v>177.82999999999998</v>
      </c>
      <c r="D33" s="114">
        <f t="shared" si="19"/>
        <v>177.82999999999998</v>
      </c>
      <c r="E33" s="115">
        <f t="shared" si="19"/>
        <v>177.82999999999998</v>
      </c>
      <c r="F33" s="115">
        <f t="shared" si="19"/>
        <v>177.82999999999998</v>
      </c>
      <c r="G33" s="121">
        <f t="shared" si="19"/>
        <v>177.82999999999998</v>
      </c>
      <c r="H33" s="115">
        <f t="shared" si="19"/>
        <v>177.82999999999998</v>
      </c>
      <c r="I33" s="115">
        <f t="shared" si="19"/>
        <v>177.82999999999998</v>
      </c>
      <c r="J33" s="115">
        <f t="shared" si="19"/>
        <v>177.82999999999998</v>
      </c>
      <c r="K33" s="115">
        <f t="shared" si="19"/>
        <v>177.82999999999998</v>
      </c>
      <c r="L33" s="115">
        <f t="shared" si="19"/>
        <v>249.16</v>
      </c>
      <c r="M33" s="115">
        <f t="shared" si="19"/>
        <v>249.16</v>
      </c>
      <c r="N33" s="122">
        <f t="shared" si="19"/>
        <v>249.16</v>
      </c>
    </row>
    <row r="34" spans="1:15" s="13" customFormat="1" x14ac:dyDescent="0.2">
      <c r="A34" s="81"/>
      <c r="B34" s="91" t="s">
        <v>42</v>
      </c>
      <c r="C34" s="106">
        <f t="shared" ref="C34:N34" si="20">C17</f>
        <v>5.3629999999999995</v>
      </c>
      <c r="D34" s="106">
        <f t="shared" si="20"/>
        <v>5.3629999999999995</v>
      </c>
      <c r="E34" s="107">
        <f t="shared" si="20"/>
        <v>5.3629999999999995</v>
      </c>
      <c r="F34" s="107">
        <f t="shared" si="20"/>
        <v>5.3629999999999995</v>
      </c>
      <c r="G34" s="108">
        <f t="shared" si="20"/>
        <v>5.3629999999999995</v>
      </c>
      <c r="H34" s="106">
        <f t="shared" si="20"/>
        <v>5.3629999999999995</v>
      </c>
      <c r="I34" s="106">
        <f t="shared" si="20"/>
        <v>5.3629999999999995</v>
      </c>
      <c r="J34" s="106">
        <f t="shared" si="20"/>
        <v>5.3629999999999995</v>
      </c>
      <c r="K34" s="106">
        <f t="shared" si="20"/>
        <v>5.3629999999999995</v>
      </c>
      <c r="L34" s="106">
        <f t="shared" si="20"/>
        <v>6.1235300365250511</v>
      </c>
      <c r="M34" s="106">
        <f t="shared" si="20"/>
        <v>6.1235300365250511</v>
      </c>
      <c r="N34" s="109">
        <f t="shared" si="20"/>
        <v>6.1235300365250511</v>
      </c>
    </row>
    <row r="35" spans="1:15" s="13" customFormat="1" ht="25.5" x14ac:dyDescent="0.2">
      <c r="A35" s="25"/>
      <c r="B35" s="87" t="s">
        <v>118</v>
      </c>
      <c r="C35" s="118">
        <f>SUM(C36:C37)</f>
        <v>1063691.4400000002</v>
      </c>
      <c r="D35" s="118">
        <f t="shared" ref="D35:N35" si="21">SUM(D36:D37)</f>
        <v>1007002.78</v>
      </c>
      <c r="E35" s="126">
        <f t="shared" si="21"/>
        <v>1062450.8899999999</v>
      </c>
      <c r="F35" s="126">
        <f t="shared" si="21"/>
        <v>1056190.19</v>
      </c>
      <c r="G35" s="118">
        <f t="shared" si="21"/>
        <v>1227142.22</v>
      </c>
      <c r="H35" s="118">
        <f t="shared" si="21"/>
        <v>1197387.5999999999</v>
      </c>
      <c r="I35" s="118">
        <f t="shared" si="21"/>
        <v>1200392.96</v>
      </c>
      <c r="J35" s="118">
        <f t="shared" si="21"/>
        <v>1192228.79</v>
      </c>
      <c r="K35" s="118">
        <f t="shared" si="21"/>
        <v>1192669.18</v>
      </c>
      <c r="L35" s="118">
        <f t="shared" si="21"/>
        <v>1225813.8399999999</v>
      </c>
      <c r="M35" s="118">
        <f t="shared" si="21"/>
        <v>1234126.6700000002</v>
      </c>
      <c r="N35" s="127">
        <f t="shared" si="21"/>
        <v>1233361.28</v>
      </c>
    </row>
    <row r="36" spans="1:15" s="13" customFormat="1" ht="25.5" x14ac:dyDescent="0.2">
      <c r="A36" s="29"/>
      <c r="B36" s="91" t="s">
        <v>116</v>
      </c>
      <c r="C36" s="101">
        <v>850.58</v>
      </c>
      <c r="D36" s="101">
        <v>1150.1400000000001</v>
      </c>
      <c r="E36" s="102">
        <v>1178.98</v>
      </c>
      <c r="F36" s="102">
        <v>1377.28</v>
      </c>
      <c r="G36" s="157">
        <v>1386.94</v>
      </c>
      <c r="H36" s="101">
        <v>1354.18</v>
      </c>
      <c r="I36" s="101">
        <v>1251.6600000000001</v>
      </c>
      <c r="J36" s="101">
        <v>1551.11</v>
      </c>
      <c r="K36" s="101">
        <v>1608.71</v>
      </c>
      <c r="L36" s="101">
        <v>1250.6400000000001</v>
      </c>
      <c r="M36" s="101">
        <v>1067.3599999999999</v>
      </c>
      <c r="N36" s="158">
        <v>1060.92</v>
      </c>
    </row>
    <row r="37" spans="1:15" s="13" customFormat="1" ht="25.5" x14ac:dyDescent="0.2">
      <c r="A37" s="25"/>
      <c r="B37" s="90" t="s">
        <v>117</v>
      </c>
      <c r="C37" s="146">
        <v>1062840.8600000001</v>
      </c>
      <c r="D37" s="146">
        <v>1005852.64</v>
      </c>
      <c r="E37" s="99">
        <v>1061271.9099999999</v>
      </c>
      <c r="F37" s="99">
        <v>1054812.9099999999</v>
      </c>
      <c r="G37" s="147">
        <v>1225755.28</v>
      </c>
      <c r="H37" s="146">
        <v>1196033.42</v>
      </c>
      <c r="I37" s="146">
        <v>1199141.3</v>
      </c>
      <c r="J37" s="146">
        <v>1190677.68</v>
      </c>
      <c r="K37" s="146">
        <v>1191060.47</v>
      </c>
      <c r="L37" s="146">
        <v>1224563.2</v>
      </c>
      <c r="M37" s="146">
        <v>1233059.31</v>
      </c>
      <c r="N37" s="148">
        <v>1232300.3600000001</v>
      </c>
    </row>
    <row r="38" spans="1:15" s="13" customFormat="1" ht="26.25" thickBot="1" x14ac:dyDescent="0.25">
      <c r="A38" s="41"/>
      <c r="B38" s="93" t="s">
        <v>65</v>
      </c>
      <c r="C38" s="129">
        <f>C21</f>
        <v>685440.35</v>
      </c>
      <c r="D38" s="129">
        <f t="shared" ref="D38:N38" si="22">D21</f>
        <v>685440.35</v>
      </c>
      <c r="E38" s="130">
        <f t="shared" si="22"/>
        <v>685440.35</v>
      </c>
      <c r="F38" s="130">
        <f t="shared" si="22"/>
        <v>685440.35</v>
      </c>
      <c r="G38" s="133">
        <f t="shared" si="22"/>
        <v>685440.35</v>
      </c>
      <c r="H38" s="129">
        <f t="shared" si="22"/>
        <v>685440.35</v>
      </c>
      <c r="I38" s="129">
        <f t="shared" si="22"/>
        <v>685440.35</v>
      </c>
      <c r="J38" s="129">
        <f t="shared" si="22"/>
        <v>685440.35</v>
      </c>
      <c r="K38" s="129">
        <f t="shared" si="22"/>
        <v>685440.35</v>
      </c>
      <c r="L38" s="129">
        <f t="shared" si="22"/>
        <v>789627.28</v>
      </c>
      <c r="M38" s="129">
        <f t="shared" si="22"/>
        <v>789627.28</v>
      </c>
      <c r="N38" s="134">
        <f t="shared" si="22"/>
        <v>789627.28</v>
      </c>
    </row>
    <row r="39" spans="1:15" s="17" customFormat="1" ht="26.25" thickBot="1" x14ac:dyDescent="0.25">
      <c r="A39" s="18" t="s">
        <v>90</v>
      </c>
      <c r="B39" s="78" t="s">
        <v>68</v>
      </c>
      <c r="C39" s="20"/>
      <c r="D39" s="20"/>
      <c r="E39" s="21"/>
      <c r="F39" s="21"/>
      <c r="G39" s="63"/>
      <c r="H39" s="21"/>
      <c r="I39" s="21"/>
      <c r="J39" s="21"/>
      <c r="K39" s="21"/>
      <c r="L39" s="21"/>
      <c r="M39" s="21"/>
      <c r="N39" s="22"/>
      <c r="O39" s="61"/>
    </row>
    <row r="40" spans="1:15" s="13" customFormat="1" ht="15" customHeight="1" x14ac:dyDescent="0.2">
      <c r="A40" s="80"/>
      <c r="B40" s="86" t="s">
        <v>61</v>
      </c>
      <c r="C40" s="155">
        <f>SUM(C41:C44)</f>
        <v>2473.0478570849996</v>
      </c>
      <c r="D40" s="155">
        <f t="shared" ref="D40:N40" si="23">SUM(D41:D44)</f>
        <v>2670.1278570849995</v>
      </c>
      <c r="E40" s="156">
        <f t="shared" si="23"/>
        <v>2678.7978570849996</v>
      </c>
      <c r="F40" s="156">
        <f t="shared" si="23"/>
        <v>2643.1278570849995</v>
      </c>
      <c r="G40" s="156">
        <f t="shared" si="23"/>
        <v>2620.8978570849995</v>
      </c>
      <c r="H40" s="156">
        <f t="shared" si="23"/>
        <v>2631.9278570849997</v>
      </c>
      <c r="I40" s="156">
        <f t="shared" si="23"/>
        <v>2887.5978570849998</v>
      </c>
      <c r="J40" s="156">
        <f t="shared" si="23"/>
        <v>2914.1578570849997</v>
      </c>
      <c r="K40" s="156">
        <f t="shared" si="23"/>
        <v>2862.9078570849997</v>
      </c>
      <c r="L40" s="156">
        <f t="shared" si="23"/>
        <v>2996.1751560365246</v>
      </c>
      <c r="M40" s="156">
        <f t="shared" si="23"/>
        <v>3049.0551560365247</v>
      </c>
      <c r="N40" s="156">
        <f t="shared" si="23"/>
        <v>3000.1951560365246</v>
      </c>
      <c r="O40" s="61"/>
    </row>
    <row r="41" spans="1:15" s="13" customFormat="1" ht="15" customHeight="1" x14ac:dyDescent="0.2">
      <c r="A41" s="29"/>
      <c r="B41" s="89" t="s">
        <v>101</v>
      </c>
      <c r="C41" s="101">
        <v>2190.75</v>
      </c>
      <c r="D41" s="101">
        <v>2387.83</v>
      </c>
      <c r="E41" s="102">
        <v>2396.5</v>
      </c>
      <c r="F41" s="102">
        <v>2360.83</v>
      </c>
      <c r="G41" s="157">
        <v>2338.6</v>
      </c>
      <c r="H41" s="101">
        <v>2349.63</v>
      </c>
      <c r="I41" s="101">
        <v>2605.3000000000002</v>
      </c>
      <c r="J41" s="101">
        <v>2631.86</v>
      </c>
      <c r="K41" s="101">
        <v>2580.61</v>
      </c>
      <c r="L41" s="101">
        <v>2625.93</v>
      </c>
      <c r="M41" s="101">
        <v>2678.81</v>
      </c>
      <c r="N41" s="158">
        <v>2629.95</v>
      </c>
      <c r="O41" s="61"/>
    </row>
    <row r="42" spans="1:15" s="13" customFormat="1" ht="15" customHeight="1" x14ac:dyDescent="0.2">
      <c r="A42" s="25"/>
      <c r="B42" s="90" t="s">
        <v>64</v>
      </c>
      <c r="C42" s="27">
        <v>99.104857084999992</v>
      </c>
      <c r="D42" s="27">
        <v>99.104857084999992</v>
      </c>
      <c r="E42" s="28">
        <v>99.104857084999992</v>
      </c>
      <c r="F42" s="28">
        <v>99.104857084999992</v>
      </c>
      <c r="G42" s="64">
        <v>99.104857084999992</v>
      </c>
      <c r="H42" s="27">
        <v>99.104857084999992</v>
      </c>
      <c r="I42" s="27">
        <v>99.104857084999992</v>
      </c>
      <c r="J42" s="27">
        <v>99.104857084999992</v>
      </c>
      <c r="K42" s="27">
        <v>99.104857084999992</v>
      </c>
      <c r="L42" s="27">
        <v>114.961626</v>
      </c>
      <c r="M42" s="27">
        <v>114.961626</v>
      </c>
      <c r="N42" s="53">
        <v>114.961626</v>
      </c>
      <c r="O42" s="61"/>
    </row>
    <row r="43" spans="1:15" s="13" customFormat="1" ht="15" customHeight="1" x14ac:dyDescent="0.2">
      <c r="A43" s="29"/>
      <c r="B43" s="89" t="s">
        <v>9</v>
      </c>
      <c r="C43" s="114">
        <v>177.82999999999998</v>
      </c>
      <c r="D43" s="114">
        <v>177.82999999999998</v>
      </c>
      <c r="E43" s="115">
        <v>177.82999999999998</v>
      </c>
      <c r="F43" s="115">
        <v>177.82999999999998</v>
      </c>
      <c r="G43" s="116">
        <v>177.82999999999998</v>
      </c>
      <c r="H43" s="114">
        <v>177.82999999999998</v>
      </c>
      <c r="I43" s="114">
        <v>177.82999999999998</v>
      </c>
      <c r="J43" s="114">
        <v>177.82999999999998</v>
      </c>
      <c r="K43" s="114">
        <v>177.82999999999998</v>
      </c>
      <c r="L43" s="114">
        <v>249.16</v>
      </c>
      <c r="M43" s="114">
        <v>249.16</v>
      </c>
      <c r="N43" s="117">
        <v>249.16</v>
      </c>
      <c r="O43" s="61"/>
    </row>
    <row r="44" spans="1:15" s="13" customFormat="1" x14ac:dyDescent="0.2">
      <c r="A44" s="81"/>
      <c r="B44" s="91" t="s">
        <v>42</v>
      </c>
      <c r="C44" s="106">
        <v>5.3629999999999995</v>
      </c>
      <c r="D44" s="106">
        <v>5.3629999999999995</v>
      </c>
      <c r="E44" s="107">
        <v>5.3629999999999995</v>
      </c>
      <c r="F44" s="107">
        <v>5.3629999999999995</v>
      </c>
      <c r="G44" s="108">
        <v>5.3629999999999995</v>
      </c>
      <c r="H44" s="106">
        <v>5.3629999999999995</v>
      </c>
      <c r="I44" s="106">
        <v>5.3629999999999995</v>
      </c>
      <c r="J44" s="106">
        <v>5.3629999999999995</v>
      </c>
      <c r="K44" s="106">
        <v>5.3629999999999995</v>
      </c>
      <c r="L44" s="106">
        <v>6.1235300365250511</v>
      </c>
      <c r="M44" s="106">
        <v>6.1235300365250511</v>
      </c>
      <c r="N44" s="109">
        <v>6.1235300365250511</v>
      </c>
      <c r="O44" s="61"/>
    </row>
    <row r="45" spans="1:15" s="13" customFormat="1" ht="25.5" x14ac:dyDescent="0.2">
      <c r="A45" s="82"/>
      <c r="B45" s="87" t="s">
        <v>118</v>
      </c>
      <c r="C45" s="118">
        <f>SUM(C46:C47)</f>
        <v>1063691.4400000002</v>
      </c>
      <c r="D45" s="118">
        <f t="shared" ref="D45:N45" si="24">SUM(D46:D47)</f>
        <v>1007002.78</v>
      </c>
      <c r="E45" s="126">
        <f t="shared" si="24"/>
        <v>1062450.8899999999</v>
      </c>
      <c r="F45" s="126">
        <f t="shared" si="24"/>
        <v>1056190.19</v>
      </c>
      <c r="G45" s="118">
        <f t="shared" si="24"/>
        <v>1227142.22</v>
      </c>
      <c r="H45" s="118">
        <f t="shared" si="24"/>
        <v>1197387.5999999999</v>
      </c>
      <c r="I45" s="118">
        <f t="shared" si="24"/>
        <v>1200392.96</v>
      </c>
      <c r="J45" s="118">
        <f t="shared" si="24"/>
        <v>1192228.79</v>
      </c>
      <c r="K45" s="118">
        <f t="shared" si="24"/>
        <v>1192669.18</v>
      </c>
      <c r="L45" s="118">
        <f t="shared" si="24"/>
        <v>1225813.8399999999</v>
      </c>
      <c r="M45" s="118">
        <f t="shared" si="24"/>
        <v>1234126.6700000002</v>
      </c>
      <c r="N45" s="127">
        <f t="shared" si="24"/>
        <v>1233361.28</v>
      </c>
    </row>
    <row r="46" spans="1:15" s="13" customFormat="1" ht="25.5" x14ac:dyDescent="0.2">
      <c r="A46" s="178"/>
      <c r="B46" s="91" t="s">
        <v>116</v>
      </c>
      <c r="C46" s="101">
        <v>850.58</v>
      </c>
      <c r="D46" s="101">
        <v>1150.1400000000001</v>
      </c>
      <c r="E46" s="102">
        <v>1178.98</v>
      </c>
      <c r="F46" s="102">
        <v>1377.28</v>
      </c>
      <c r="G46" s="157">
        <v>1386.94</v>
      </c>
      <c r="H46" s="101">
        <v>1354.18</v>
      </c>
      <c r="I46" s="101">
        <v>1251.6600000000001</v>
      </c>
      <c r="J46" s="101">
        <v>1551.11</v>
      </c>
      <c r="K46" s="101">
        <v>1608.71</v>
      </c>
      <c r="L46" s="101">
        <v>1250.6400000000001</v>
      </c>
      <c r="M46" s="101">
        <v>1067.3599999999999</v>
      </c>
      <c r="N46" s="158">
        <v>1060.92</v>
      </c>
    </row>
    <row r="47" spans="1:15" s="13" customFormat="1" ht="25.5" x14ac:dyDescent="0.2">
      <c r="A47" s="178"/>
      <c r="B47" s="90" t="s">
        <v>117</v>
      </c>
      <c r="C47" s="146">
        <v>1062840.8600000001</v>
      </c>
      <c r="D47" s="146">
        <v>1005852.64</v>
      </c>
      <c r="E47" s="99">
        <v>1061271.9099999999</v>
      </c>
      <c r="F47" s="99">
        <v>1054812.9099999999</v>
      </c>
      <c r="G47" s="147">
        <v>1225755.28</v>
      </c>
      <c r="H47" s="146">
        <v>1196033.42</v>
      </c>
      <c r="I47" s="146">
        <v>1199141.3</v>
      </c>
      <c r="J47" s="146">
        <v>1190677.68</v>
      </c>
      <c r="K47" s="146">
        <v>1191060.47</v>
      </c>
      <c r="L47" s="146">
        <v>1224563.2</v>
      </c>
      <c r="M47" s="146">
        <v>1233059.31</v>
      </c>
      <c r="N47" s="148">
        <v>1232300.3600000001</v>
      </c>
    </row>
    <row r="48" spans="1:15" s="13" customFormat="1" ht="26.25" thickBot="1" x14ac:dyDescent="0.25">
      <c r="A48" s="84"/>
      <c r="B48" s="191" t="s">
        <v>65</v>
      </c>
      <c r="C48" s="128">
        <v>322592.31</v>
      </c>
      <c r="D48" s="129">
        <v>322592.31</v>
      </c>
      <c r="E48" s="130">
        <v>322592.31</v>
      </c>
      <c r="F48" s="130">
        <v>322592.31</v>
      </c>
      <c r="G48" s="131">
        <v>322592.31</v>
      </c>
      <c r="H48" s="128">
        <v>322592.31</v>
      </c>
      <c r="I48" s="129">
        <v>322592.31</v>
      </c>
      <c r="J48" s="128">
        <v>322592.31</v>
      </c>
      <c r="K48" s="129">
        <v>322592.31</v>
      </c>
      <c r="L48" s="128">
        <v>374207.08</v>
      </c>
      <c r="M48" s="129">
        <v>374207.08</v>
      </c>
      <c r="N48" s="132">
        <v>374207.08</v>
      </c>
    </row>
    <row r="49" spans="1:15" s="17" customFormat="1" ht="26.25" thickBot="1" x14ac:dyDescent="0.25">
      <c r="A49" s="18" t="s">
        <v>91</v>
      </c>
      <c r="B49" s="78" t="s">
        <v>69</v>
      </c>
      <c r="C49" s="20"/>
      <c r="D49" s="20"/>
      <c r="E49" s="21"/>
      <c r="F49" s="21"/>
      <c r="G49" s="63"/>
      <c r="H49" s="21"/>
      <c r="I49" s="21"/>
      <c r="J49" s="21"/>
      <c r="K49" s="21"/>
      <c r="L49" s="21"/>
      <c r="M49" s="21"/>
      <c r="N49" s="22"/>
      <c r="O49" s="61"/>
    </row>
    <row r="50" spans="1:15" s="13" customFormat="1" ht="15" customHeight="1" x14ac:dyDescent="0.2">
      <c r="A50" s="83"/>
      <c r="B50" s="86" t="s">
        <v>61</v>
      </c>
      <c r="C50" s="155">
        <f>SUM(C51:C54)</f>
        <v>2438.3480132249997</v>
      </c>
      <c r="D50" s="155">
        <f t="shared" ref="D50" si="25">SUM(D51:D54)</f>
        <v>2635.4280132249996</v>
      </c>
      <c r="E50" s="156">
        <f t="shared" ref="E50" si="26">SUM(E51:E54)</f>
        <v>2644.0980132249997</v>
      </c>
      <c r="F50" s="156">
        <f t="shared" ref="F50" si="27">SUM(F51:F54)</f>
        <v>2608.4280132249996</v>
      </c>
      <c r="G50" s="156">
        <f t="shared" ref="G50" si="28">SUM(G51:G54)</f>
        <v>2586.1980132249996</v>
      </c>
      <c r="H50" s="156">
        <f t="shared" ref="H50" si="29">SUM(H51:H54)</f>
        <v>2597.2280132249998</v>
      </c>
      <c r="I50" s="156">
        <f t="shared" ref="I50" si="30">SUM(I51:I54)</f>
        <v>2852.8980132249999</v>
      </c>
      <c r="J50" s="156">
        <f t="shared" ref="J50" si="31">SUM(J51:J54)</f>
        <v>2879.4580132249998</v>
      </c>
      <c r="K50" s="156">
        <f t="shared" ref="K50" si="32">SUM(K51:K54)</f>
        <v>2828.2080132249998</v>
      </c>
      <c r="L50" s="156">
        <f t="shared" ref="L50" si="33">SUM(L51:L54)</f>
        <v>2955.9233400365247</v>
      </c>
      <c r="M50" s="156">
        <f t="shared" ref="M50" si="34">SUM(M51:M54)</f>
        <v>3008.8033400365248</v>
      </c>
      <c r="N50" s="162">
        <f t="shared" ref="N50" si="35">SUM(N51:N54)</f>
        <v>2959.9433400365247</v>
      </c>
      <c r="O50" s="61"/>
    </row>
    <row r="51" spans="1:15" s="13" customFormat="1" ht="15" customHeight="1" x14ac:dyDescent="0.2">
      <c r="A51" s="29"/>
      <c r="B51" s="89" t="s">
        <v>101</v>
      </c>
      <c r="C51" s="101">
        <v>2190.75</v>
      </c>
      <c r="D51" s="101">
        <v>2387.83</v>
      </c>
      <c r="E51" s="102">
        <v>2396.5</v>
      </c>
      <c r="F51" s="102">
        <v>2360.83</v>
      </c>
      <c r="G51" s="157">
        <v>2338.6</v>
      </c>
      <c r="H51" s="101">
        <v>2349.63</v>
      </c>
      <c r="I51" s="101">
        <v>2605.3000000000002</v>
      </c>
      <c r="J51" s="101">
        <v>2631.86</v>
      </c>
      <c r="K51" s="101">
        <v>2580.61</v>
      </c>
      <c r="L51" s="101">
        <v>2625.93</v>
      </c>
      <c r="M51" s="101">
        <v>2678.81</v>
      </c>
      <c r="N51" s="158">
        <v>2629.95</v>
      </c>
      <c r="O51" s="61"/>
    </row>
    <row r="52" spans="1:15" s="13" customFormat="1" ht="15" customHeight="1" x14ac:dyDescent="0.2">
      <c r="A52" s="25"/>
      <c r="B52" s="90" t="s">
        <v>64</v>
      </c>
      <c r="C52" s="27">
        <v>64.405013225000005</v>
      </c>
      <c r="D52" s="27">
        <v>64.405013225000005</v>
      </c>
      <c r="E52" s="28">
        <v>64.405013225000005</v>
      </c>
      <c r="F52" s="28">
        <v>64.405013225000005</v>
      </c>
      <c r="G52" s="64">
        <v>64.405013225000005</v>
      </c>
      <c r="H52" s="27">
        <v>64.405013225000005</v>
      </c>
      <c r="I52" s="27">
        <v>64.405013225000005</v>
      </c>
      <c r="J52" s="27">
        <v>64.405013225000005</v>
      </c>
      <c r="K52" s="27">
        <v>64.405013225000005</v>
      </c>
      <c r="L52" s="27">
        <v>74.709810000000004</v>
      </c>
      <c r="M52" s="27">
        <v>74.709810000000004</v>
      </c>
      <c r="N52" s="53">
        <v>74.709810000000004</v>
      </c>
      <c r="O52" s="61"/>
    </row>
    <row r="53" spans="1:15" s="13" customFormat="1" ht="15" customHeight="1" x14ac:dyDescent="0.2">
      <c r="A53" s="29"/>
      <c r="B53" s="89" t="s">
        <v>9</v>
      </c>
      <c r="C53" s="114">
        <v>177.82999999999998</v>
      </c>
      <c r="D53" s="114">
        <v>177.82999999999998</v>
      </c>
      <c r="E53" s="115">
        <v>177.82999999999998</v>
      </c>
      <c r="F53" s="115">
        <v>177.82999999999998</v>
      </c>
      <c r="G53" s="116">
        <v>177.82999999999998</v>
      </c>
      <c r="H53" s="114">
        <v>177.82999999999998</v>
      </c>
      <c r="I53" s="114">
        <v>177.82999999999998</v>
      </c>
      <c r="J53" s="114">
        <v>177.82999999999998</v>
      </c>
      <c r="K53" s="114">
        <v>177.82999999999998</v>
      </c>
      <c r="L53" s="114">
        <v>249.16</v>
      </c>
      <c r="M53" s="114">
        <v>249.16</v>
      </c>
      <c r="N53" s="117">
        <v>249.16</v>
      </c>
      <c r="O53" s="61"/>
    </row>
    <row r="54" spans="1:15" s="13" customFormat="1" x14ac:dyDescent="0.2">
      <c r="A54" s="81"/>
      <c r="B54" s="91" t="s">
        <v>42</v>
      </c>
      <c r="C54" s="106">
        <v>5.3629999999999995</v>
      </c>
      <c r="D54" s="106">
        <v>5.3629999999999995</v>
      </c>
      <c r="E54" s="107">
        <v>5.3629999999999995</v>
      </c>
      <c r="F54" s="107">
        <v>5.3629999999999995</v>
      </c>
      <c r="G54" s="108">
        <v>5.3629999999999995</v>
      </c>
      <c r="H54" s="106">
        <v>5.3629999999999995</v>
      </c>
      <c r="I54" s="106">
        <v>5.3629999999999995</v>
      </c>
      <c r="J54" s="106">
        <v>5.3629999999999995</v>
      </c>
      <c r="K54" s="106">
        <v>5.3629999999999995</v>
      </c>
      <c r="L54" s="106">
        <v>6.1235300365250511</v>
      </c>
      <c r="M54" s="106">
        <v>6.1235300365250511</v>
      </c>
      <c r="N54" s="109">
        <v>6.1235300365250511</v>
      </c>
      <c r="O54" s="61"/>
    </row>
    <row r="55" spans="1:15" s="13" customFormat="1" ht="25.5" x14ac:dyDescent="0.2">
      <c r="A55" s="81"/>
      <c r="B55" s="87" t="s">
        <v>118</v>
      </c>
      <c r="C55" s="118">
        <f>SUM(C56:C57)</f>
        <v>1063691.4400000002</v>
      </c>
      <c r="D55" s="118">
        <f t="shared" ref="D55:N55" si="36">SUM(D56:D57)</f>
        <v>1007002.78</v>
      </c>
      <c r="E55" s="126">
        <f t="shared" si="36"/>
        <v>1062450.8899999999</v>
      </c>
      <c r="F55" s="126">
        <f t="shared" si="36"/>
        <v>1056190.19</v>
      </c>
      <c r="G55" s="118">
        <f t="shared" si="36"/>
        <v>1227142.22</v>
      </c>
      <c r="H55" s="118">
        <f t="shared" si="36"/>
        <v>1197387.5999999999</v>
      </c>
      <c r="I55" s="118">
        <f t="shared" si="36"/>
        <v>1200392.96</v>
      </c>
      <c r="J55" s="118">
        <f t="shared" si="36"/>
        <v>1192228.79</v>
      </c>
      <c r="K55" s="118">
        <f t="shared" si="36"/>
        <v>1192669.18</v>
      </c>
      <c r="L55" s="118">
        <f t="shared" si="36"/>
        <v>1225813.8399999999</v>
      </c>
      <c r="M55" s="118">
        <f t="shared" si="36"/>
        <v>1234126.6700000002</v>
      </c>
      <c r="N55" s="127">
        <f t="shared" si="36"/>
        <v>1233361.28</v>
      </c>
    </row>
    <row r="56" spans="1:15" s="13" customFormat="1" ht="25.5" x14ac:dyDescent="0.2">
      <c r="A56" s="81"/>
      <c r="B56" s="91" t="s">
        <v>116</v>
      </c>
      <c r="C56" s="101">
        <v>850.58</v>
      </c>
      <c r="D56" s="101">
        <v>1150.1400000000001</v>
      </c>
      <c r="E56" s="102">
        <v>1178.98</v>
      </c>
      <c r="F56" s="102">
        <v>1377.28</v>
      </c>
      <c r="G56" s="157">
        <v>1386.94</v>
      </c>
      <c r="H56" s="101">
        <v>1354.18</v>
      </c>
      <c r="I56" s="101">
        <v>1251.6600000000001</v>
      </c>
      <c r="J56" s="101">
        <v>1551.11</v>
      </c>
      <c r="K56" s="101">
        <v>1608.71</v>
      </c>
      <c r="L56" s="101">
        <v>1250.6400000000001</v>
      </c>
      <c r="M56" s="101">
        <v>1067.3599999999999</v>
      </c>
      <c r="N56" s="158">
        <v>1060.92</v>
      </c>
    </row>
    <row r="57" spans="1:15" s="13" customFormat="1" ht="25.5" x14ac:dyDescent="0.2">
      <c r="A57" s="81"/>
      <c r="B57" s="90" t="s">
        <v>117</v>
      </c>
      <c r="C57" s="146">
        <v>1062840.8600000001</v>
      </c>
      <c r="D57" s="146">
        <v>1005852.64</v>
      </c>
      <c r="E57" s="99">
        <v>1061271.9099999999</v>
      </c>
      <c r="F57" s="99">
        <v>1054812.9099999999</v>
      </c>
      <c r="G57" s="147">
        <v>1225755.28</v>
      </c>
      <c r="H57" s="146">
        <v>1196033.42</v>
      </c>
      <c r="I57" s="146">
        <v>1199141.3</v>
      </c>
      <c r="J57" s="146">
        <v>1190677.68</v>
      </c>
      <c r="K57" s="146">
        <v>1191060.47</v>
      </c>
      <c r="L57" s="146">
        <v>1224563.2</v>
      </c>
      <c r="M57" s="146">
        <v>1233059.31</v>
      </c>
      <c r="N57" s="148">
        <v>1232300.3600000001</v>
      </c>
    </row>
    <row r="58" spans="1:15" s="13" customFormat="1" ht="26.25" thickBot="1" x14ac:dyDescent="0.25">
      <c r="A58" s="32"/>
      <c r="B58" s="93" t="s">
        <v>65</v>
      </c>
      <c r="C58" s="129">
        <v>322592.31</v>
      </c>
      <c r="D58" s="129">
        <v>322592.31</v>
      </c>
      <c r="E58" s="130">
        <v>322592.31</v>
      </c>
      <c r="F58" s="130">
        <v>322592.31</v>
      </c>
      <c r="G58" s="133">
        <v>322592.31</v>
      </c>
      <c r="H58" s="129">
        <v>322592.31</v>
      </c>
      <c r="I58" s="129">
        <v>322592.31</v>
      </c>
      <c r="J58" s="129">
        <v>322592.31</v>
      </c>
      <c r="K58" s="129">
        <v>322592.31</v>
      </c>
      <c r="L58" s="129">
        <v>374207.08</v>
      </c>
      <c r="M58" s="129">
        <v>374207.08</v>
      </c>
      <c r="N58" s="134">
        <v>374207.08</v>
      </c>
    </row>
    <row r="59" spans="1:15" s="13" customFormat="1" x14ac:dyDescent="0.2">
      <c r="A59" s="45"/>
      <c r="B59" s="95"/>
      <c r="C59" s="47"/>
      <c r="D59" s="47"/>
      <c r="E59" s="48"/>
      <c r="F59" s="48"/>
      <c r="G59" s="47"/>
      <c r="H59" s="47"/>
      <c r="I59" s="47"/>
      <c r="J59" s="47"/>
      <c r="K59" s="47"/>
      <c r="L59" s="47"/>
      <c r="M59" s="47"/>
      <c r="N59" s="47"/>
    </row>
    <row r="60" spans="1:15" s="13" customFormat="1" x14ac:dyDescent="0.2">
      <c r="A60" s="45"/>
      <c r="B60" s="95"/>
      <c r="C60" s="47"/>
      <c r="D60" s="47"/>
      <c r="E60" s="48"/>
      <c r="F60" s="48"/>
      <c r="G60" s="47"/>
      <c r="H60" s="47"/>
      <c r="I60" s="47"/>
      <c r="J60" s="47"/>
      <c r="K60" s="47"/>
      <c r="L60" s="47"/>
      <c r="M60" s="47"/>
      <c r="N60" s="47"/>
    </row>
    <row r="61" spans="1:15" s="59" customFormat="1" ht="21" customHeight="1" thickBot="1" x14ac:dyDescent="0.25">
      <c r="A61" s="7" t="s">
        <v>87</v>
      </c>
      <c r="B61" s="7"/>
      <c r="C61" s="7"/>
      <c r="D61" s="7"/>
      <c r="E61" s="7"/>
      <c r="F61" s="7"/>
      <c r="G61" s="5"/>
      <c r="H61" s="5"/>
      <c r="I61" s="5"/>
      <c r="J61" s="5"/>
      <c r="K61" s="5"/>
      <c r="L61" s="6"/>
      <c r="M61" s="6"/>
      <c r="N61" s="6"/>
    </row>
    <row r="62" spans="1:15" s="13" customFormat="1" ht="24" customHeight="1" thickBot="1" x14ac:dyDescent="0.25">
      <c r="A62" s="49" t="s">
        <v>0</v>
      </c>
      <c r="B62" s="50" t="s">
        <v>1</v>
      </c>
      <c r="C62" s="51" t="s">
        <v>17</v>
      </c>
      <c r="D62" s="51" t="s">
        <v>18</v>
      </c>
      <c r="E62" s="51" t="s">
        <v>19</v>
      </c>
      <c r="F62" s="51" t="s">
        <v>20</v>
      </c>
      <c r="G62" s="51" t="s">
        <v>21</v>
      </c>
      <c r="H62" s="51" t="s">
        <v>22</v>
      </c>
      <c r="I62" s="51" t="s">
        <v>23</v>
      </c>
      <c r="J62" s="51" t="s">
        <v>24</v>
      </c>
      <c r="K62" s="51" t="s">
        <v>25</v>
      </c>
      <c r="L62" s="51" t="s">
        <v>26</v>
      </c>
      <c r="M62" s="51" t="s">
        <v>27</v>
      </c>
      <c r="N62" s="52" t="s">
        <v>28</v>
      </c>
    </row>
    <row r="63" spans="1:15" s="17" customFormat="1" ht="21" customHeight="1" thickBot="1" x14ac:dyDescent="0.25">
      <c r="A63" s="14" t="s">
        <v>14</v>
      </c>
      <c r="B63" s="15" t="s">
        <v>5</v>
      </c>
      <c r="C63" s="70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2"/>
      <c r="O63" s="44"/>
    </row>
    <row r="64" spans="1:15" s="17" customFormat="1" ht="14.25" customHeight="1" thickBot="1" x14ac:dyDescent="0.25">
      <c r="A64" s="18" t="s">
        <v>15</v>
      </c>
      <c r="B64" s="78" t="s">
        <v>7</v>
      </c>
      <c r="C64" s="20"/>
      <c r="D64" s="20"/>
      <c r="E64" s="21"/>
      <c r="F64" s="21"/>
      <c r="G64" s="63"/>
      <c r="H64" s="21"/>
      <c r="I64" s="21"/>
      <c r="J64" s="21"/>
      <c r="K64" s="21"/>
      <c r="L64" s="21"/>
      <c r="M64" s="21"/>
      <c r="N64" s="22"/>
      <c r="O64" s="61"/>
    </row>
    <row r="65" spans="1:15" s="13" customFormat="1" ht="15" customHeight="1" x14ac:dyDescent="0.2">
      <c r="A65" s="80"/>
      <c r="B65" s="86" t="s">
        <v>61</v>
      </c>
      <c r="C65" s="155">
        <f>SUM(C66:C69)</f>
        <v>2511.6729999999998</v>
      </c>
      <c r="D65" s="155">
        <f t="shared" ref="D65:N65" si="37">SUM(D66:D69)</f>
        <v>2708.7529999999997</v>
      </c>
      <c r="E65" s="156">
        <f t="shared" si="37"/>
        <v>2717.4229999999998</v>
      </c>
      <c r="F65" s="156">
        <f t="shared" si="37"/>
        <v>2681.7529999999997</v>
      </c>
      <c r="G65" s="156">
        <f t="shared" si="37"/>
        <v>2659.5229999999997</v>
      </c>
      <c r="H65" s="156">
        <f t="shared" si="37"/>
        <v>2670.5529999999999</v>
      </c>
      <c r="I65" s="156">
        <f t="shared" si="37"/>
        <v>2926.223</v>
      </c>
      <c r="J65" s="156">
        <f t="shared" si="37"/>
        <v>2952.7829999999999</v>
      </c>
      <c r="K65" s="156">
        <f t="shared" si="37"/>
        <v>2901.5329999999999</v>
      </c>
      <c r="L65" s="156">
        <f t="shared" si="37"/>
        <v>3039.8735300365247</v>
      </c>
      <c r="M65" s="156">
        <f t="shared" si="37"/>
        <v>3092.7535300365248</v>
      </c>
      <c r="N65" s="156">
        <f t="shared" si="37"/>
        <v>3043.8935300365247</v>
      </c>
      <c r="O65" s="61"/>
    </row>
    <row r="66" spans="1:15" s="13" customFormat="1" ht="15" customHeight="1" x14ac:dyDescent="0.2">
      <c r="A66" s="29"/>
      <c r="B66" s="89" t="s">
        <v>101</v>
      </c>
      <c r="C66" s="101">
        <v>2190.75</v>
      </c>
      <c r="D66" s="101">
        <v>2387.83</v>
      </c>
      <c r="E66" s="102">
        <v>2396.5</v>
      </c>
      <c r="F66" s="102">
        <v>2360.83</v>
      </c>
      <c r="G66" s="157">
        <v>2338.6</v>
      </c>
      <c r="H66" s="101">
        <v>2349.63</v>
      </c>
      <c r="I66" s="101">
        <v>2605.3000000000002</v>
      </c>
      <c r="J66" s="101">
        <v>2631.86</v>
      </c>
      <c r="K66" s="101">
        <v>2580.61</v>
      </c>
      <c r="L66" s="101">
        <v>2625.93</v>
      </c>
      <c r="M66" s="101">
        <v>2678.81</v>
      </c>
      <c r="N66" s="158">
        <v>2629.95</v>
      </c>
      <c r="O66" s="61"/>
    </row>
    <row r="67" spans="1:15" s="13" customFormat="1" ht="15" customHeight="1" x14ac:dyDescent="0.2">
      <c r="A67" s="25"/>
      <c r="B67" s="90" t="s">
        <v>64</v>
      </c>
      <c r="C67" s="27">
        <v>137.72999999999999</v>
      </c>
      <c r="D67" s="27">
        <v>137.72999999999999</v>
      </c>
      <c r="E67" s="28">
        <v>137.72999999999999</v>
      </c>
      <c r="F67" s="28">
        <v>137.72999999999999</v>
      </c>
      <c r="G67" s="64">
        <v>137.72999999999999</v>
      </c>
      <c r="H67" s="27">
        <v>137.72999999999999</v>
      </c>
      <c r="I67" s="27">
        <v>137.72999999999999</v>
      </c>
      <c r="J67" s="27">
        <v>137.72999999999999</v>
      </c>
      <c r="K67" s="27">
        <v>137.72999999999999</v>
      </c>
      <c r="L67" s="27">
        <v>158.66</v>
      </c>
      <c r="M67" s="27">
        <v>158.66</v>
      </c>
      <c r="N67" s="53">
        <v>158.66</v>
      </c>
      <c r="O67" s="61"/>
    </row>
    <row r="68" spans="1:15" s="13" customFormat="1" ht="15" customHeight="1" x14ac:dyDescent="0.2">
      <c r="A68" s="29"/>
      <c r="B68" s="89" t="s">
        <v>9</v>
      </c>
      <c r="C68" s="114">
        <v>177.82999999999998</v>
      </c>
      <c r="D68" s="114">
        <v>177.82999999999998</v>
      </c>
      <c r="E68" s="115">
        <v>177.82999999999998</v>
      </c>
      <c r="F68" s="115">
        <v>177.82999999999998</v>
      </c>
      <c r="G68" s="116">
        <v>177.82999999999998</v>
      </c>
      <c r="H68" s="114">
        <v>177.82999999999998</v>
      </c>
      <c r="I68" s="114">
        <v>177.82999999999998</v>
      </c>
      <c r="J68" s="114">
        <v>177.82999999999998</v>
      </c>
      <c r="K68" s="114">
        <v>177.82999999999998</v>
      </c>
      <c r="L68" s="114">
        <v>249.16</v>
      </c>
      <c r="M68" s="114">
        <v>249.16</v>
      </c>
      <c r="N68" s="117">
        <v>249.16</v>
      </c>
      <c r="O68" s="61"/>
    </row>
    <row r="69" spans="1:15" s="13" customFormat="1" x14ac:dyDescent="0.2">
      <c r="A69" s="81"/>
      <c r="B69" s="91" t="s">
        <v>42</v>
      </c>
      <c r="C69" s="106">
        <v>5.3629999999999995</v>
      </c>
      <c r="D69" s="106">
        <v>5.3629999999999995</v>
      </c>
      <c r="E69" s="107">
        <v>5.3629999999999995</v>
      </c>
      <c r="F69" s="107">
        <v>5.3629999999999995</v>
      </c>
      <c r="G69" s="108">
        <v>5.3629999999999995</v>
      </c>
      <c r="H69" s="106">
        <v>5.3629999999999995</v>
      </c>
      <c r="I69" s="106">
        <v>5.3629999999999995</v>
      </c>
      <c r="J69" s="106">
        <v>5.3629999999999995</v>
      </c>
      <c r="K69" s="106">
        <v>5.3629999999999995</v>
      </c>
      <c r="L69" s="106">
        <v>6.1235300365250511</v>
      </c>
      <c r="M69" s="106">
        <v>6.1235300365250511</v>
      </c>
      <c r="N69" s="109">
        <v>6.1235300365250511</v>
      </c>
      <c r="O69" s="61"/>
    </row>
    <row r="70" spans="1:15" s="13" customFormat="1" ht="25.5" x14ac:dyDescent="0.2">
      <c r="A70" s="82"/>
      <c r="B70" s="87" t="s">
        <v>118</v>
      </c>
      <c r="C70" s="118">
        <f>SUM(C71:C72)</f>
        <v>1063691.4400000002</v>
      </c>
      <c r="D70" s="118">
        <f t="shared" ref="D70:N70" si="38">SUM(D71:D72)</f>
        <v>1007002.78</v>
      </c>
      <c r="E70" s="126">
        <f t="shared" si="38"/>
        <v>1062450.8899999999</v>
      </c>
      <c r="F70" s="126">
        <f t="shared" si="38"/>
        <v>1056190.19</v>
      </c>
      <c r="G70" s="118">
        <f t="shared" si="38"/>
        <v>1227142.22</v>
      </c>
      <c r="H70" s="118">
        <f t="shared" si="38"/>
        <v>1197387.5999999999</v>
      </c>
      <c r="I70" s="118">
        <f t="shared" si="38"/>
        <v>1200392.96</v>
      </c>
      <c r="J70" s="118">
        <f t="shared" si="38"/>
        <v>1192228.79</v>
      </c>
      <c r="K70" s="118">
        <f t="shared" si="38"/>
        <v>1192669.18</v>
      </c>
      <c r="L70" s="118">
        <f t="shared" si="38"/>
        <v>1225813.8399999999</v>
      </c>
      <c r="M70" s="118">
        <f t="shared" si="38"/>
        <v>1234126.6700000002</v>
      </c>
      <c r="N70" s="127">
        <f t="shared" si="38"/>
        <v>1233361.28</v>
      </c>
    </row>
    <row r="71" spans="1:15" s="13" customFormat="1" ht="25.5" x14ac:dyDescent="0.2">
      <c r="A71" s="178"/>
      <c r="B71" s="91" t="s">
        <v>116</v>
      </c>
      <c r="C71" s="101">
        <v>850.58</v>
      </c>
      <c r="D71" s="101">
        <v>1150.1400000000001</v>
      </c>
      <c r="E71" s="102">
        <v>1178.98</v>
      </c>
      <c r="F71" s="102">
        <v>1377.28</v>
      </c>
      <c r="G71" s="157">
        <v>1386.94</v>
      </c>
      <c r="H71" s="101">
        <v>1354.18</v>
      </c>
      <c r="I71" s="101">
        <v>1251.6600000000001</v>
      </c>
      <c r="J71" s="101">
        <v>1551.11</v>
      </c>
      <c r="K71" s="101">
        <v>1608.71</v>
      </c>
      <c r="L71" s="101">
        <v>1250.6400000000001</v>
      </c>
      <c r="M71" s="101">
        <v>1067.3599999999999</v>
      </c>
      <c r="N71" s="158">
        <v>1060.92</v>
      </c>
    </row>
    <row r="72" spans="1:15" s="13" customFormat="1" ht="25.5" x14ac:dyDescent="0.2">
      <c r="A72" s="178"/>
      <c r="B72" s="90" t="s">
        <v>117</v>
      </c>
      <c r="C72" s="146">
        <v>1062840.8600000001</v>
      </c>
      <c r="D72" s="146">
        <v>1005852.64</v>
      </c>
      <c r="E72" s="99">
        <v>1061271.9099999999</v>
      </c>
      <c r="F72" s="99">
        <v>1054812.9099999999</v>
      </c>
      <c r="G72" s="147">
        <v>1225755.28</v>
      </c>
      <c r="H72" s="146">
        <v>1196033.42</v>
      </c>
      <c r="I72" s="146">
        <v>1199141.3</v>
      </c>
      <c r="J72" s="146">
        <v>1190677.68</v>
      </c>
      <c r="K72" s="146">
        <v>1191060.47</v>
      </c>
      <c r="L72" s="146">
        <v>1224563.2</v>
      </c>
      <c r="M72" s="146">
        <v>1233059.31</v>
      </c>
      <c r="N72" s="148">
        <v>1232300.3600000001</v>
      </c>
    </row>
    <row r="73" spans="1:15" s="13" customFormat="1" ht="26.25" thickBot="1" x14ac:dyDescent="0.25">
      <c r="A73" s="84"/>
      <c r="B73" s="191" t="s">
        <v>65</v>
      </c>
      <c r="C73" s="128">
        <v>1216018.8400000001</v>
      </c>
      <c r="D73" s="129">
        <v>1216018.8400000001</v>
      </c>
      <c r="E73" s="130">
        <v>1216018.8400000001</v>
      </c>
      <c r="F73" s="130">
        <v>1216018.8400000001</v>
      </c>
      <c r="G73" s="131">
        <v>1216018.8400000001</v>
      </c>
      <c r="H73" s="128">
        <v>1216018.8400000001</v>
      </c>
      <c r="I73" s="129">
        <v>1216018.8400000001</v>
      </c>
      <c r="J73" s="128">
        <v>1216018.8400000001</v>
      </c>
      <c r="K73" s="129">
        <v>1216018.8400000001</v>
      </c>
      <c r="L73" s="128">
        <v>1400853.7</v>
      </c>
      <c r="M73" s="129">
        <v>1400853.7</v>
      </c>
      <c r="N73" s="132">
        <v>1400853.7</v>
      </c>
    </row>
    <row r="74" spans="1:15" s="13" customFormat="1" ht="26.25" thickBot="1" x14ac:dyDescent="0.25">
      <c r="A74" s="36" t="s">
        <v>16</v>
      </c>
      <c r="B74" s="37" t="s">
        <v>11</v>
      </c>
      <c r="C74" s="20"/>
      <c r="D74" s="20"/>
      <c r="E74" s="21"/>
      <c r="F74" s="21"/>
      <c r="G74" s="66"/>
      <c r="H74" s="20"/>
      <c r="I74" s="20"/>
      <c r="J74" s="20"/>
      <c r="K74" s="20"/>
      <c r="L74" s="20"/>
      <c r="M74" s="20"/>
      <c r="N74" s="55"/>
    </row>
    <row r="75" spans="1:15" s="13" customFormat="1" ht="15" customHeight="1" x14ac:dyDescent="0.2">
      <c r="A75" s="85"/>
      <c r="B75" s="88" t="s">
        <v>61</v>
      </c>
      <c r="C75" s="159">
        <f>SUM(C76:C78)</f>
        <v>2373.9429999999998</v>
      </c>
      <c r="D75" s="159">
        <f t="shared" ref="D75:N75" si="39">SUM(D76:D78)</f>
        <v>2571.0229999999997</v>
      </c>
      <c r="E75" s="160">
        <f t="shared" si="39"/>
        <v>2579.6929999999998</v>
      </c>
      <c r="F75" s="160">
        <f t="shared" si="39"/>
        <v>2544.0229999999997</v>
      </c>
      <c r="G75" s="160">
        <f t="shared" si="39"/>
        <v>2521.7929999999997</v>
      </c>
      <c r="H75" s="160">
        <f t="shared" si="39"/>
        <v>2532.8229999999999</v>
      </c>
      <c r="I75" s="160">
        <f t="shared" si="39"/>
        <v>2788.4929999999999</v>
      </c>
      <c r="J75" s="160">
        <f t="shared" si="39"/>
        <v>2815.0529999999999</v>
      </c>
      <c r="K75" s="160">
        <f t="shared" si="39"/>
        <v>2763.8029999999999</v>
      </c>
      <c r="L75" s="160">
        <f t="shared" si="39"/>
        <v>2881.2135300365248</v>
      </c>
      <c r="M75" s="160">
        <f t="shared" si="39"/>
        <v>2934.093530036525</v>
      </c>
      <c r="N75" s="161">
        <f t="shared" si="39"/>
        <v>2885.2335300365248</v>
      </c>
    </row>
    <row r="76" spans="1:15" s="13" customFormat="1" ht="15" customHeight="1" x14ac:dyDescent="0.2">
      <c r="A76" s="25"/>
      <c r="B76" s="89" t="s">
        <v>101</v>
      </c>
      <c r="C76" s="101">
        <f>C66</f>
        <v>2190.75</v>
      </c>
      <c r="D76" s="101">
        <f t="shared" ref="D76:N76" si="40">D66</f>
        <v>2387.83</v>
      </c>
      <c r="E76" s="102">
        <f t="shared" si="40"/>
        <v>2396.5</v>
      </c>
      <c r="F76" s="102">
        <f t="shared" si="40"/>
        <v>2360.83</v>
      </c>
      <c r="G76" s="157">
        <f t="shared" si="40"/>
        <v>2338.6</v>
      </c>
      <c r="H76" s="101">
        <f t="shared" si="40"/>
        <v>2349.63</v>
      </c>
      <c r="I76" s="101">
        <f t="shared" si="40"/>
        <v>2605.3000000000002</v>
      </c>
      <c r="J76" s="101">
        <f t="shared" si="40"/>
        <v>2631.86</v>
      </c>
      <c r="K76" s="101">
        <f t="shared" si="40"/>
        <v>2580.61</v>
      </c>
      <c r="L76" s="101">
        <f t="shared" si="40"/>
        <v>2625.93</v>
      </c>
      <c r="M76" s="101">
        <f t="shared" si="40"/>
        <v>2678.81</v>
      </c>
      <c r="N76" s="158">
        <f t="shared" si="40"/>
        <v>2629.95</v>
      </c>
    </row>
    <row r="77" spans="1:15" s="13" customFormat="1" ht="15" customHeight="1" x14ac:dyDescent="0.2">
      <c r="A77" s="40"/>
      <c r="B77" s="90" t="s">
        <v>9</v>
      </c>
      <c r="C77" s="114">
        <f t="shared" ref="C77:N77" si="41">C68</f>
        <v>177.82999999999998</v>
      </c>
      <c r="D77" s="114">
        <f t="shared" si="41"/>
        <v>177.82999999999998</v>
      </c>
      <c r="E77" s="115">
        <f t="shared" si="41"/>
        <v>177.82999999999998</v>
      </c>
      <c r="F77" s="115">
        <f t="shared" si="41"/>
        <v>177.82999999999998</v>
      </c>
      <c r="G77" s="121">
        <f t="shared" si="41"/>
        <v>177.82999999999998</v>
      </c>
      <c r="H77" s="115">
        <f t="shared" si="41"/>
        <v>177.82999999999998</v>
      </c>
      <c r="I77" s="115">
        <f t="shared" si="41"/>
        <v>177.82999999999998</v>
      </c>
      <c r="J77" s="115">
        <f t="shared" si="41"/>
        <v>177.82999999999998</v>
      </c>
      <c r="K77" s="115">
        <f t="shared" si="41"/>
        <v>177.82999999999998</v>
      </c>
      <c r="L77" s="115">
        <f t="shared" si="41"/>
        <v>249.16</v>
      </c>
      <c r="M77" s="115">
        <f t="shared" si="41"/>
        <v>249.16</v>
      </c>
      <c r="N77" s="122">
        <f t="shared" si="41"/>
        <v>249.16</v>
      </c>
    </row>
    <row r="78" spans="1:15" s="13" customFormat="1" ht="15" customHeight="1" x14ac:dyDescent="0.2">
      <c r="A78" s="81"/>
      <c r="B78" s="91" t="s">
        <v>42</v>
      </c>
      <c r="C78" s="106">
        <f>C69</f>
        <v>5.3629999999999995</v>
      </c>
      <c r="D78" s="106">
        <f t="shared" ref="D78:N78" si="42">D69</f>
        <v>5.3629999999999995</v>
      </c>
      <c r="E78" s="107">
        <f t="shared" si="42"/>
        <v>5.3629999999999995</v>
      </c>
      <c r="F78" s="107">
        <f t="shared" si="42"/>
        <v>5.3629999999999995</v>
      </c>
      <c r="G78" s="108">
        <f t="shared" si="42"/>
        <v>5.3629999999999995</v>
      </c>
      <c r="H78" s="106">
        <f t="shared" si="42"/>
        <v>5.3629999999999995</v>
      </c>
      <c r="I78" s="106">
        <f t="shared" si="42"/>
        <v>5.3629999999999995</v>
      </c>
      <c r="J78" s="106">
        <f t="shared" si="42"/>
        <v>5.3629999999999995</v>
      </c>
      <c r="K78" s="106">
        <f t="shared" si="42"/>
        <v>5.3629999999999995</v>
      </c>
      <c r="L78" s="106">
        <f t="shared" si="42"/>
        <v>6.1235300365250511</v>
      </c>
      <c r="M78" s="106">
        <f t="shared" si="42"/>
        <v>6.1235300365250511</v>
      </c>
      <c r="N78" s="109">
        <f t="shared" si="42"/>
        <v>6.1235300365250511</v>
      </c>
    </row>
    <row r="79" spans="1:15" s="13" customFormat="1" ht="25.5" x14ac:dyDescent="0.2">
      <c r="A79" s="81"/>
      <c r="B79" s="87" t="s">
        <v>118</v>
      </c>
      <c r="C79" s="118">
        <f>SUM(C80:C81)</f>
        <v>1063691.4400000002</v>
      </c>
      <c r="D79" s="118">
        <f t="shared" ref="D79:N79" si="43">SUM(D80:D81)</f>
        <v>1007002.78</v>
      </c>
      <c r="E79" s="126">
        <f t="shared" si="43"/>
        <v>1062450.8899999999</v>
      </c>
      <c r="F79" s="126">
        <f t="shared" si="43"/>
        <v>1056190.19</v>
      </c>
      <c r="G79" s="118">
        <f t="shared" si="43"/>
        <v>1227142.22</v>
      </c>
      <c r="H79" s="118">
        <f t="shared" si="43"/>
        <v>1197387.5999999999</v>
      </c>
      <c r="I79" s="118">
        <f t="shared" si="43"/>
        <v>1200392.96</v>
      </c>
      <c r="J79" s="118">
        <f t="shared" si="43"/>
        <v>1192228.79</v>
      </c>
      <c r="K79" s="118">
        <f t="shared" si="43"/>
        <v>1192669.18</v>
      </c>
      <c r="L79" s="118">
        <f t="shared" si="43"/>
        <v>1225813.8399999999</v>
      </c>
      <c r="M79" s="118">
        <f t="shared" si="43"/>
        <v>1234126.6700000002</v>
      </c>
      <c r="N79" s="127">
        <f t="shared" si="43"/>
        <v>1233361.28</v>
      </c>
    </row>
    <row r="80" spans="1:15" s="13" customFormat="1" ht="25.5" x14ac:dyDescent="0.2">
      <c r="A80" s="81"/>
      <c r="B80" s="91" t="s">
        <v>116</v>
      </c>
      <c r="C80" s="101">
        <v>850.58</v>
      </c>
      <c r="D80" s="101">
        <v>1150.1400000000001</v>
      </c>
      <c r="E80" s="102">
        <v>1178.98</v>
      </c>
      <c r="F80" s="102">
        <v>1377.28</v>
      </c>
      <c r="G80" s="157">
        <v>1386.94</v>
      </c>
      <c r="H80" s="101">
        <v>1354.18</v>
      </c>
      <c r="I80" s="101">
        <v>1251.6600000000001</v>
      </c>
      <c r="J80" s="101">
        <v>1551.11</v>
      </c>
      <c r="K80" s="101">
        <v>1608.71</v>
      </c>
      <c r="L80" s="101">
        <v>1250.6400000000001</v>
      </c>
      <c r="M80" s="101">
        <v>1067.3599999999999</v>
      </c>
      <c r="N80" s="158">
        <v>1060.92</v>
      </c>
    </row>
    <row r="81" spans="1:15" s="13" customFormat="1" ht="26.25" thickBot="1" x14ac:dyDescent="0.25">
      <c r="A81" s="32"/>
      <c r="B81" s="186" t="s">
        <v>117</v>
      </c>
      <c r="C81" s="187">
        <v>1062840.8600000001</v>
      </c>
      <c r="D81" s="187">
        <v>1005852.64</v>
      </c>
      <c r="E81" s="100">
        <v>1061271.9099999999</v>
      </c>
      <c r="F81" s="100">
        <v>1054812.9099999999</v>
      </c>
      <c r="G81" s="192">
        <v>1225755.28</v>
      </c>
      <c r="H81" s="187">
        <v>1196033.42</v>
      </c>
      <c r="I81" s="187">
        <v>1199141.3</v>
      </c>
      <c r="J81" s="187">
        <v>1190677.68</v>
      </c>
      <c r="K81" s="187">
        <v>1191060.47</v>
      </c>
      <c r="L81" s="187">
        <v>1224563.2</v>
      </c>
      <c r="M81" s="187">
        <v>1233059.31</v>
      </c>
      <c r="N81" s="188">
        <v>1232300.3600000001</v>
      </c>
    </row>
    <row r="82" spans="1:15" s="13" customFormat="1" ht="15" thickBot="1" x14ac:dyDescent="0.25">
      <c r="A82" s="36" t="s">
        <v>67</v>
      </c>
      <c r="B82" s="37" t="s">
        <v>66</v>
      </c>
      <c r="C82" s="20"/>
      <c r="D82" s="20"/>
      <c r="E82" s="21"/>
      <c r="F82" s="21"/>
      <c r="G82" s="66"/>
      <c r="H82" s="20"/>
      <c r="I82" s="20"/>
      <c r="J82" s="20"/>
      <c r="K82" s="20"/>
      <c r="L82" s="20"/>
      <c r="M82" s="20"/>
      <c r="N82" s="55"/>
    </row>
    <row r="83" spans="1:15" s="13" customFormat="1" ht="14.25" customHeight="1" x14ac:dyDescent="0.2">
      <c r="A83" s="85"/>
      <c r="B83" s="88" t="s">
        <v>61</v>
      </c>
      <c r="C83" s="159">
        <f>SUM(C84:C86)</f>
        <v>2373.9429999999998</v>
      </c>
      <c r="D83" s="159">
        <f t="shared" ref="D83" si="44">SUM(D84:D86)</f>
        <v>2571.0229999999997</v>
      </c>
      <c r="E83" s="160">
        <f t="shared" ref="E83" si="45">SUM(E84:E86)</f>
        <v>2579.6929999999998</v>
      </c>
      <c r="F83" s="160">
        <f t="shared" ref="F83" si="46">SUM(F84:F86)</f>
        <v>2544.0229999999997</v>
      </c>
      <c r="G83" s="160">
        <f t="shared" ref="G83" si="47">SUM(G84:G86)</f>
        <v>2521.7929999999997</v>
      </c>
      <c r="H83" s="160">
        <f t="shared" ref="H83" si="48">SUM(H84:H86)</f>
        <v>2532.8229999999999</v>
      </c>
      <c r="I83" s="160">
        <f t="shared" ref="I83" si="49">SUM(I84:I86)</f>
        <v>2788.4929999999999</v>
      </c>
      <c r="J83" s="160">
        <f t="shared" ref="J83" si="50">SUM(J84:J86)</f>
        <v>2815.0529999999999</v>
      </c>
      <c r="K83" s="160">
        <f t="shared" ref="K83" si="51">SUM(K84:K86)</f>
        <v>2763.8029999999999</v>
      </c>
      <c r="L83" s="160">
        <f t="shared" ref="L83" si="52">SUM(L84:L86)</f>
        <v>2881.2135300365248</v>
      </c>
      <c r="M83" s="160">
        <f t="shared" ref="M83" si="53">SUM(M84:M86)</f>
        <v>2934.093530036525</v>
      </c>
      <c r="N83" s="161">
        <f t="shared" ref="N83" si="54">SUM(N84:N86)</f>
        <v>2885.2335300365248</v>
      </c>
    </row>
    <row r="84" spans="1:15" s="13" customFormat="1" x14ac:dyDescent="0.2">
      <c r="A84" s="25"/>
      <c r="B84" s="89" t="s">
        <v>101</v>
      </c>
      <c r="C84" s="101">
        <f t="shared" ref="C84:N84" si="55">C66</f>
        <v>2190.75</v>
      </c>
      <c r="D84" s="101">
        <f t="shared" si="55"/>
        <v>2387.83</v>
      </c>
      <c r="E84" s="102">
        <f t="shared" si="55"/>
        <v>2396.5</v>
      </c>
      <c r="F84" s="102">
        <f t="shared" si="55"/>
        <v>2360.83</v>
      </c>
      <c r="G84" s="157">
        <f t="shared" si="55"/>
        <v>2338.6</v>
      </c>
      <c r="H84" s="101">
        <f t="shared" si="55"/>
        <v>2349.63</v>
      </c>
      <c r="I84" s="101">
        <f t="shared" si="55"/>
        <v>2605.3000000000002</v>
      </c>
      <c r="J84" s="101">
        <f t="shared" si="55"/>
        <v>2631.86</v>
      </c>
      <c r="K84" s="101">
        <f t="shared" si="55"/>
        <v>2580.61</v>
      </c>
      <c r="L84" s="101">
        <f t="shared" si="55"/>
        <v>2625.93</v>
      </c>
      <c r="M84" s="101">
        <f t="shared" si="55"/>
        <v>2678.81</v>
      </c>
      <c r="N84" s="158">
        <f t="shared" si="55"/>
        <v>2629.95</v>
      </c>
    </row>
    <row r="85" spans="1:15" s="13" customFormat="1" x14ac:dyDescent="0.2">
      <c r="A85" s="40"/>
      <c r="B85" s="90" t="s">
        <v>9</v>
      </c>
      <c r="C85" s="114">
        <f t="shared" ref="C85:N85" si="56">C68</f>
        <v>177.82999999999998</v>
      </c>
      <c r="D85" s="114">
        <f t="shared" si="56"/>
        <v>177.82999999999998</v>
      </c>
      <c r="E85" s="115">
        <f t="shared" si="56"/>
        <v>177.82999999999998</v>
      </c>
      <c r="F85" s="115">
        <f t="shared" si="56"/>
        <v>177.82999999999998</v>
      </c>
      <c r="G85" s="121">
        <f t="shared" si="56"/>
        <v>177.82999999999998</v>
      </c>
      <c r="H85" s="115">
        <f t="shared" si="56"/>
        <v>177.82999999999998</v>
      </c>
      <c r="I85" s="115">
        <f t="shared" si="56"/>
        <v>177.82999999999998</v>
      </c>
      <c r="J85" s="115">
        <f t="shared" si="56"/>
        <v>177.82999999999998</v>
      </c>
      <c r="K85" s="115">
        <f t="shared" si="56"/>
        <v>177.82999999999998</v>
      </c>
      <c r="L85" s="115">
        <f t="shared" si="56"/>
        <v>249.16</v>
      </c>
      <c r="M85" s="115">
        <f t="shared" si="56"/>
        <v>249.16</v>
      </c>
      <c r="N85" s="122">
        <f t="shared" si="56"/>
        <v>249.16</v>
      </c>
    </row>
    <row r="86" spans="1:15" s="13" customFormat="1" x14ac:dyDescent="0.2">
      <c r="A86" s="81"/>
      <c r="B86" s="91" t="s">
        <v>42</v>
      </c>
      <c r="C86" s="106">
        <f t="shared" ref="C86:N86" si="57">C69</f>
        <v>5.3629999999999995</v>
      </c>
      <c r="D86" s="106">
        <f t="shared" si="57"/>
        <v>5.3629999999999995</v>
      </c>
      <c r="E86" s="107">
        <f t="shared" si="57"/>
        <v>5.3629999999999995</v>
      </c>
      <c r="F86" s="107">
        <f t="shared" si="57"/>
        <v>5.3629999999999995</v>
      </c>
      <c r="G86" s="108">
        <f t="shared" si="57"/>
        <v>5.3629999999999995</v>
      </c>
      <c r="H86" s="106">
        <f t="shared" si="57"/>
        <v>5.3629999999999995</v>
      </c>
      <c r="I86" s="106">
        <f t="shared" si="57"/>
        <v>5.3629999999999995</v>
      </c>
      <c r="J86" s="106">
        <f t="shared" si="57"/>
        <v>5.3629999999999995</v>
      </c>
      <c r="K86" s="106">
        <f t="shared" si="57"/>
        <v>5.3629999999999995</v>
      </c>
      <c r="L86" s="106">
        <f t="shared" si="57"/>
        <v>6.1235300365250511</v>
      </c>
      <c r="M86" s="106">
        <f t="shared" si="57"/>
        <v>6.1235300365250511</v>
      </c>
      <c r="N86" s="109">
        <f t="shared" si="57"/>
        <v>6.1235300365250511</v>
      </c>
    </row>
    <row r="87" spans="1:15" s="13" customFormat="1" ht="25.5" x14ac:dyDescent="0.2">
      <c r="A87" s="25"/>
      <c r="B87" s="87" t="s">
        <v>118</v>
      </c>
      <c r="C87" s="118">
        <f>SUM(C88:C89)</f>
        <v>1063691.4400000002</v>
      </c>
      <c r="D87" s="118">
        <f t="shared" ref="D87:N87" si="58">SUM(D88:D89)</f>
        <v>1007002.78</v>
      </c>
      <c r="E87" s="126">
        <f t="shared" si="58"/>
        <v>1062450.8899999999</v>
      </c>
      <c r="F87" s="126">
        <f t="shared" si="58"/>
        <v>1056190.19</v>
      </c>
      <c r="G87" s="118">
        <f t="shared" si="58"/>
        <v>1227142.22</v>
      </c>
      <c r="H87" s="118">
        <f t="shared" si="58"/>
        <v>1197387.5999999999</v>
      </c>
      <c r="I87" s="118">
        <f t="shared" si="58"/>
        <v>1200392.96</v>
      </c>
      <c r="J87" s="118">
        <f t="shared" si="58"/>
        <v>1192228.79</v>
      </c>
      <c r="K87" s="118">
        <f t="shared" si="58"/>
        <v>1192669.18</v>
      </c>
      <c r="L87" s="118">
        <f t="shared" si="58"/>
        <v>1225813.8399999999</v>
      </c>
      <c r="M87" s="118">
        <f t="shared" si="58"/>
        <v>1234126.6700000002</v>
      </c>
      <c r="N87" s="127">
        <f t="shared" si="58"/>
        <v>1233361.28</v>
      </c>
    </row>
    <row r="88" spans="1:15" s="13" customFormat="1" ht="25.5" x14ac:dyDescent="0.2">
      <c r="A88" s="25"/>
      <c r="B88" s="91" t="s">
        <v>116</v>
      </c>
      <c r="C88" s="101">
        <v>850.58</v>
      </c>
      <c r="D88" s="101">
        <v>1150.1400000000001</v>
      </c>
      <c r="E88" s="102">
        <v>1178.98</v>
      </c>
      <c r="F88" s="102">
        <v>1377.28</v>
      </c>
      <c r="G88" s="157">
        <v>1386.94</v>
      </c>
      <c r="H88" s="101">
        <v>1354.18</v>
      </c>
      <c r="I88" s="101">
        <v>1251.6600000000001</v>
      </c>
      <c r="J88" s="101">
        <v>1551.11</v>
      </c>
      <c r="K88" s="101">
        <v>1608.71</v>
      </c>
      <c r="L88" s="101">
        <v>1250.6400000000001</v>
      </c>
      <c r="M88" s="101">
        <v>1067.3599999999999</v>
      </c>
      <c r="N88" s="158">
        <v>1060.92</v>
      </c>
    </row>
    <row r="89" spans="1:15" s="13" customFormat="1" ht="25.5" x14ac:dyDescent="0.2">
      <c r="A89" s="29"/>
      <c r="B89" s="90" t="s">
        <v>117</v>
      </c>
      <c r="C89" s="146">
        <v>1062840.8600000001</v>
      </c>
      <c r="D89" s="146">
        <v>1005852.64</v>
      </c>
      <c r="E89" s="99">
        <v>1061271.9099999999</v>
      </c>
      <c r="F89" s="99">
        <v>1054812.9099999999</v>
      </c>
      <c r="G89" s="147">
        <v>1225755.28</v>
      </c>
      <c r="H89" s="146">
        <v>1196033.42</v>
      </c>
      <c r="I89" s="146">
        <v>1199141.3</v>
      </c>
      <c r="J89" s="146">
        <v>1190677.68</v>
      </c>
      <c r="K89" s="146">
        <v>1191060.47</v>
      </c>
      <c r="L89" s="146">
        <v>1224563.2</v>
      </c>
      <c r="M89" s="146">
        <v>1233059.31</v>
      </c>
      <c r="N89" s="148">
        <v>1232300.3600000001</v>
      </c>
    </row>
    <row r="90" spans="1:15" s="13" customFormat="1" ht="26.25" thickBot="1" x14ac:dyDescent="0.25">
      <c r="A90" s="32"/>
      <c r="B90" s="93" t="s">
        <v>65</v>
      </c>
      <c r="C90" s="129">
        <f>C73</f>
        <v>1216018.8400000001</v>
      </c>
      <c r="D90" s="129">
        <f t="shared" ref="D90:N90" si="59">D73</f>
        <v>1216018.8400000001</v>
      </c>
      <c r="E90" s="130">
        <f t="shared" si="59"/>
        <v>1216018.8400000001</v>
      </c>
      <c r="F90" s="130">
        <f t="shared" si="59"/>
        <v>1216018.8400000001</v>
      </c>
      <c r="G90" s="133">
        <f t="shared" si="59"/>
        <v>1216018.8400000001</v>
      </c>
      <c r="H90" s="129">
        <f t="shared" si="59"/>
        <v>1216018.8400000001</v>
      </c>
      <c r="I90" s="129">
        <f t="shared" si="59"/>
        <v>1216018.8400000001</v>
      </c>
      <c r="J90" s="129">
        <f t="shared" si="59"/>
        <v>1216018.8400000001</v>
      </c>
      <c r="K90" s="129">
        <f t="shared" si="59"/>
        <v>1216018.8400000001</v>
      </c>
      <c r="L90" s="129">
        <f t="shared" si="59"/>
        <v>1400853.7</v>
      </c>
      <c r="M90" s="129">
        <f t="shared" si="59"/>
        <v>1400853.7</v>
      </c>
      <c r="N90" s="134">
        <f t="shared" si="59"/>
        <v>1400853.7</v>
      </c>
    </row>
    <row r="91" spans="1:15" s="13" customFormat="1" x14ac:dyDescent="0.2">
      <c r="A91" s="45"/>
      <c r="B91" s="95"/>
      <c r="C91" s="96"/>
      <c r="D91" s="96"/>
      <c r="E91" s="97"/>
      <c r="F91" s="97"/>
      <c r="G91" s="96"/>
      <c r="H91" s="96"/>
      <c r="I91" s="96"/>
      <c r="J91" s="96"/>
      <c r="K91" s="96"/>
      <c r="L91" s="96"/>
      <c r="M91" s="96"/>
      <c r="N91" s="96"/>
    </row>
    <row r="92" spans="1:15" s="13" customFormat="1" x14ac:dyDescent="0.2">
      <c r="A92" s="45"/>
      <c r="B92" s="95"/>
      <c r="C92" s="96"/>
      <c r="D92" s="96"/>
      <c r="E92" s="97"/>
      <c r="F92" s="97"/>
      <c r="G92" s="96"/>
      <c r="H92" s="96"/>
      <c r="I92" s="96"/>
      <c r="J92" s="96"/>
      <c r="K92" s="96"/>
      <c r="L92" s="96"/>
      <c r="M92" s="96"/>
      <c r="N92" s="96"/>
    </row>
    <row r="93" spans="1:15" s="59" customFormat="1" ht="21" customHeight="1" thickBot="1" x14ac:dyDescent="0.25">
      <c r="A93" s="7" t="s">
        <v>88</v>
      </c>
      <c r="B93" s="7"/>
      <c r="C93" s="7"/>
      <c r="D93" s="7"/>
      <c r="E93" s="7"/>
      <c r="F93" s="7"/>
      <c r="G93" s="5"/>
      <c r="H93" s="5"/>
      <c r="I93" s="5"/>
      <c r="J93" s="5"/>
      <c r="K93" s="5"/>
      <c r="L93" s="6"/>
      <c r="M93" s="6"/>
      <c r="N93" s="6"/>
    </row>
    <row r="94" spans="1:15" s="13" customFormat="1" ht="24" customHeight="1" thickBot="1" x14ac:dyDescent="0.25">
      <c r="A94" s="49" t="s">
        <v>0</v>
      </c>
      <c r="B94" s="50" t="s">
        <v>1</v>
      </c>
      <c r="C94" s="51" t="s">
        <v>17</v>
      </c>
      <c r="D94" s="51" t="s">
        <v>18</v>
      </c>
      <c r="E94" s="51" t="s">
        <v>19</v>
      </c>
      <c r="F94" s="51" t="s">
        <v>20</v>
      </c>
      <c r="G94" s="51" t="s">
        <v>21</v>
      </c>
      <c r="H94" s="51" t="s">
        <v>22</v>
      </c>
      <c r="I94" s="51" t="s">
        <v>23</v>
      </c>
      <c r="J94" s="51" t="s">
        <v>24</v>
      </c>
      <c r="K94" s="51" t="s">
        <v>25</v>
      </c>
      <c r="L94" s="51" t="s">
        <v>26</v>
      </c>
      <c r="M94" s="51" t="s">
        <v>27</v>
      </c>
      <c r="N94" s="52" t="s">
        <v>28</v>
      </c>
    </row>
    <row r="95" spans="1:15" s="17" customFormat="1" ht="21" customHeight="1" thickBot="1" x14ac:dyDescent="0.25">
      <c r="A95" s="14" t="s">
        <v>31</v>
      </c>
      <c r="B95" s="15" t="s">
        <v>5</v>
      </c>
      <c r="C95" s="70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2"/>
      <c r="O95" s="44"/>
    </row>
    <row r="96" spans="1:15" s="17" customFormat="1" ht="13.5" thickBot="1" x14ac:dyDescent="0.25">
      <c r="A96" s="18" t="s">
        <v>32</v>
      </c>
      <c r="B96" s="78" t="s">
        <v>7</v>
      </c>
      <c r="C96" s="20"/>
      <c r="D96" s="20"/>
      <c r="E96" s="21"/>
      <c r="F96" s="21"/>
      <c r="G96" s="63"/>
      <c r="H96" s="21"/>
      <c r="I96" s="21"/>
      <c r="J96" s="21"/>
      <c r="K96" s="21"/>
      <c r="L96" s="21"/>
      <c r="M96" s="21"/>
      <c r="N96" s="22"/>
      <c r="O96" s="61"/>
    </row>
    <row r="97" spans="1:15" s="13" customFormat="1" ht="15" customHeight="1" x14ac:dyDescent="0.2">
      <c r="A97" s="80"/>
      <c r="B97" s="86" t="s">
        <v>61</v>
      </c>
      <c r="C97" s="155">
        <f>SUM(C98:C101)</f>
        <v>2638.1929999999998</v>
      </c>
      <c r="D97" s="155">
        <f t="shared" ref="D97:N97" si="60">SUM(D98:D101)</f>
        <v>2835.2729999999997</v>
      </c>
      <c r="E97" s="156">
        <f t="shared" si="60"/>
        <v>2843.9429999999998</v>
      </c>
      <c r="F97" s="156">
        <f t="shared" si="60"/>
        <v>2808.2729999999997</v>
      </c>
      <c r="G97" s="156">
        <f t="shared" si="60"/>
        <v>2786.0429999999997</v>
      </c>
      <c r="H97" s="156">
        <f t="shared" si="60"/>
        <v>2797.0729999999999</v>
      </c>
      <c r="I97" s="156">
        <f t="shared" si="60"/>
        <v>3052.7429999999999</v>
      </c>
      <c r="J97" s="156">
        <f t="shared" si="60"/>
        <v>3079.3029999999999</v>
      </c>
      <c r="K97" s="156">
        <f t="shared" si="60"/>
        <v>3028.0529999999999</v>
      </c>
      <c r="L97" s="156">
        <f t="shared" si="60"/>
        <v>3185.6335300365249</v>
      </c>
      <c r="M97" s="156">
        <f t="shared" si="60"/>
        <v>3238.513530036525</v>
      </c>
      <c r="N97" s="156">
        <f t="shared" si="60"/>
        <v>3189.6535300365249</v>
      </c>
      <c r="O97" s="61"/>
    </row>
    <row r="98" spans="1:15" s="13" customFormat="1" ht="15" customHeight="1" x14ac:dyDescent="0.2">
      <c r="A98" s="29"/>
      <c r="B98" s="89" t="s">
        <v>101</v>
      </c>
      <c r="C98" s="101">
        <v>2190.75</v>
      </c>
      <c r="D98" s="101">
        <v>2387.83</v>
      </c>
      <c r="E98" s="102">
        <v>2396.5</v>
      </c>
      <c r="F98" s="102">
        <v>2360.83</v>
      </c>
      <c r="G98" s="157">
        <v>2338.6</v>
      </c>
      <c r="H98" s="101">
        <v>2349.63</v>
      </c>
      <c r="I98" s="101">
        <v>2605.3000000000002</v>
      </c>
      <c r="J98" s="101">
        <v>2631.86</v>
      </c>
      <c r="K98" s="101">
        <v>2580.61</v>
      </c>
      <c r="L98" s="101">
        <v>2625.93</v>
      </c>
      <c r="M98" s="101">
        <v>2678.81</v>
      </c>
      <c r="N98" s="158">
        <v>2629.95</v>
      </c>
      <c r="O98" s="61"/>
    </row>
    <row r="99" spans="1:15" s="13" customFormat="1" ht="15" customHeight="1" x14ac:dyDescent="0.2">
      <c r="A99" s="25"/>
      <c r="B99" s="90" t="s">
        <v>64</v>
      </c>
      <c r="C99" s="114">
        <v>264.25</v>
      </c>
      <c r="D99" s="114">
        <v>264.25</v>
      </c>
      <c r="E99" s="115">
        <v>264.25</v>
      </c>
      <c r="F99" s="115">
        <v>264.25</v>
      </c>
      <c r="G99" s="116">
        <v>264.25</v>
      </c>
      <c r="H99" s="114">
        <v>264.25</v>
      </c>
      <c r="I99" s="114">
        <v>264.25</v>
      </c>
      <c r="J99" s="114">
        <v>264.25</v>
      </c>
      <c r="K99" s="114">
        <v>264.25</v>
      </c>
      <c r="L99" s="114">
        <v>304.42</v>
      </c>
      <c r="M99" s="114">
        <v>304.42</v>
      </c>
      <c r="N99" s="117">
        <v>304.42</v>
      </c>
      <c r="O99" s="61"/>
    </row>
    <row r="100" spans="1:15" s="13" customFormat="1" ht="15" customHeight="1" x14ac:dyDescent="0.2">
      <c r="A100" s="29"/>
      <c r="B100" s="89" t="s">
        <v>9</v>
      </c>
      <c r="C100" s="114">
        <v>177.82999999999998</v>
      </c>
      <c r="D100" s="114">
        <v>177.82999999999998</v>
      </c>
      <c r="E100" s="115">
        <v>177.82999999999998</v>
      </c>
      <c r="F100" s="115">
        <v>177.82999999999998</v>
      </c>
      <c r="G100" s="116">
        <v>177.82999999999998</v>
      </c>
      <c r="H100" s="114">
        <v>177.82999999999998</v>
      </c>
      <c r="I100" s="114">
        <v>177.82999999999998</v>
      </c>
      <c r="J100" s="114">
        <v>177.82999999999998</v>
      </c>
      <c r="K100" s="114">
        <v>177.82999999999998</v>
      </c>
      <c r="L100" s="114">
        <v>249.16</v>
      </c>
      <c r="M100" s="114">
        <v>249.16</v>
      </c>
      <c r="N100" s="117">
        <v>249.16</v>
      </c>
      <c r="O100" s="61"/>
    </row>
    <row r="101" spans="1:15" s="13" customFormat="1" x14ac:dyDescent="0.2">
      <c r="A101" s="81"/>
      <c r="B101" s="91" t="s">
        <v>42</v>
      </c>
      <c r="C101" s="106">
        <v>5.3629999999999995</v>
      </c>
      <c r="D101" s="106">
        <v>5.3629999999999995</v>
      </c>
      <c r="E101" s="107">
        <v>5.3629999999999995</v>
      </c>
      <c r="F101" s="107">
        <v>5.3629999999999995</v>
      </c>
      <c r="G101" s="108">
        <v>5.3629999999999995</v>
      </c>
      <c r="H101" s="106">
        <v>5.3629999999999995</v>
      </c>
      <c r="I101" s="106">
        <v>5.3629999999999995</v>
      </c>
      <c r="J101" s="106">
        <v>5.3629999999999995</v>
      </c>
      <c r="K101" s="106">
        <v>5.3629999999999995</v>
      </c>
      <c r="L101" s="106">
        <v>6.1235300365250511</v>
      </c>
      <c r="M101" s="106">
        <v>6.1235300365250511</v>
      </c>
      <c r="N101" s="109">
        <v>6.1235300365250511</v>
      </c>
      <c r="O101" s="61"/>
    </row>
    <row r="102" spans="1:15" s="13" customFormat="1" ht="25.5" x14ac:dyDescent="0.2">
      <c r="A102" s="82"/>
      <c r="B102" s="87" t="s">
        <v>118</v>
      </c>
      <c r="C102" s="118">
        <f>SUM(C103:C104)</f>
        <v>1063691.4400000002</v>
      </c>
      <c r="D102" s="118">
        <f t="shared" ref="D102:N102" si="61">SUM(D103:D104)</f>
        <v>1007002.78</v>
      </c>
      <c r="E102" s="126">
        <f t="shared" si="61"/>
        <v>1062450.8899999999</v>
      </c>
      <c r="F102" s="126">
        <f t="shared" si="61"/>
        <v>1056190.19</v>
      </c>
      <c r="G102" s="118">
        <f t="shared" si="61"/>
        <v>1227142.22</v>
      </c>
      <c r="H102" s="118">
        <f t="shared" si="61"/>
        <v>1197387.5999999999</v>
      </c>
      <c r="I102" s="118">
        <f t="shared" si="61"/>
        <v>1200392.96</v>
      </c>
      <c r="J102" s="118">
        <f t="shared" si="61"/>
        <v>1192228.79</v>
      </c>
      <c r="K102" s="118">
        <f t="shared" si="61"/>
        <v>1192669.18</v>
      </c>
      <c r="L102" s="118">
        <f t="shared" si="61"/>
        <v>1225813.8399999999</v>
      </c>
      <c r="M102" s="118">
        <f t="shared" si="61"/>
        <v>1234126.6700000002</v>
      </c>
      <c r="N102" s="127">
        <f t="shared" si="61"/>
        <v>1233361.28</v>
      </c>
    </row>
    <row r="103" spans="1:15" s="13" customFormat="1" ht="25.5" x14ac:dyDescent="0.2">
      <c r="A103" s="178"/>
      <c r="B103" s="91" t="s">
        <v>116</v>
      </c>
      <c r="C103" s="101">
        <v>850.58</v>
      </c>
      <c r="D103" s="101">
        <v>1150.1400000000001</v>
      </c>
      <c r="E103" s="102">
        <v>1178.98</v>
      </c>
      <c r="F103" s="102">
        <v>1377.28</v>
      </c>
      <c r="G103" s="157">
        <v>1386.94</v>
      </c>
      <c r="H103" s="101">
        <v>1354.18</v>
      </c>
      <c r="I103" s="101">
        <v>1251.6600000000001</v>
      </c>
      <c r="J103" s="101">
        <v>1551.11</v>
      </c>
      <c r="K103" s="101">
        <v>1608.71</v>
      </c>
      <c r="L103" s="101">
        <v>1250.6400000000001</v>
      </c>
      <c r="M103" s="101">
        <v>1067.3599999999999</v>
      </c>
      <c r="N103" s="158">
        <v>1060.92</v>
      </c>
    </row>
    <row r="104" spans="1:15" s="13" customFormat="1" ht="25.5" x14ac:dyDescent="0.2">
      <c r="A104" s="178"/>
      <c r="B104" s="90" t="s">
        <v>117</v>
      </c>
      <c r="C104" s="146">
        <v>1062840.8600000001</v>
      </c>
      <c r="D104" s="146">
        <v>1005852.64</v>
      </c>
      <c r="E104" s="99">
        <v>1061271.9099999999</v>
      </c>
      <c r="F104" s="99">
        <v>1054812.9099999999</v>
      </c>
      <c r="G104" s="147">
        <v>1225755.28</v>
      </c>
      <c r="H104" s="146">
        <v>1196033.42</v>
      </c>
      <c r="I104" s="146">
        <v>1199141.3</v>
      </c>
      <c r="J104" s="146">
        <v>1190677.68</v>
      </c>
      <c r="K104" s="146">
        <v>1191060.47</v>
      </c>
      <c r="L104" s="146">
        <v>1224563.2</v>
      </c>
      <c r="M104" s="146">
        <v>1233059.31</v>
      </c>
      <c r="N104" s="185">
        <v>1232300.3600000001</v>
      </c>
    </row>
    <row r="105" spans="1:15" s="13" customFormat="1" ht="26.25" thickBot="1" x14ac:dyDescent="0.25">
      <c r="A105" s="84"/>
      <c r="B105" s="191" t="s">
        <v>65</v>
      </c>
      <c r="C105" s="128">
        <v>1327021.72</v>
      </c>
      <c r="D105" s="129">
        <v>1327021.72</v>
      </c>
      <c r="E105" s="130">
        <v>1327021.72</v>
      </c>
      <c r="F105" s="130">
        <v>1327021.72</v>
      </c>
      <c r="G105" s="131">
        <v>1327021.72</v>
      </c>
      <c r="H105" s="128">
        <v>1327021.72</v>
      </c>
      <c r="I105" s="129">
        <v>1327021.72</v>
      </c>
      <c r="J105" s="128">
        <v>1327021.72</v>
      </c>
      <c r="K105" s="129">
        <v>1327021.72</v>
      </c>
      <c r="L105" s="128">
        <v>1528729.02</v>
      </c>
      <c r="M105" s="129">
        <v>1528729.02</v>
      </c>
      <c r="N105" s="125">
        <v>1528729.02</v>
      </c>
    </row>
    <row r="106" spans="1:15" s="13" customFormat="1" ht="26.25" thickBot="1" x14ac:dyDescent="0.25">
      <c r="A106" s="36" t="s">
        <v>33</v>
      </c>
      <c r="B106" s="37" t="s">
        <v>11</v>
      </c>
      <c r="C106" s="20"/>
      <c r="D106" s="20"/>
      <c r="E106" s="21"/>
      <c r="F106" s="21"/>
      <c r="G106" s="66"/>
      <c r="H106" s="20"/>
      <c r="I106" s="20"/>
      <c r="J106" s="20"/>
      <c r="K106" s="20"/>
      <c r="L106" s="20"/>
      <c r="M106" s="20"/>
      <c r="N106" s="55"/>
    </row>
    <row r="107" spans="1:15" s="13" customFormat="1" ht="15" customHeight="1" x14ac:dyDescent="0.2">
      <c r="A107" s="85"/>
      <c r="B107" s="88" t="s">
        <v>61</v>
      </c>
      <c r="C107" s="159">
        <f>SUM(C108:C110)</f>
        <v>2373.9429999999998</v>
      </c>
      <c r="D107" s="159">
        <f t="shared" ref="D107:N107" si="62">SUM(D108:D110)</f>
        <v>2571.0229999999997</v>
      </c>
      <c r="E107" s="160">
        <f t="shared" si="62"/>
        <v>2579.6929999999998</v>
      </c>
      <c r="F107" s="160">
        <f t="shared" si="62"/>
        <v>2544.0229999999997</v>
      </c>
      <c r="G107" s="160">
        <f t="shared" si="62"/>
        <v>2521.7929999999997</v>
      </c>
      <c r="H107" s="160">
        <f t="shared" si="62"/>
        <v>2532.8229999999999</v>
      </c>
      <c r="I107" s="160">
        <f t="shared" si="62"/>
        <v>2788.4929999999999</v>
      </c>
      <c r="J107" s="160">
        <f t="shared" si="62"/>
        <v>2815.0529999999999</v>
      </c>
      <c r="K107" s="160">
        <f t="shared" si="62"/>
        <v>2763.8029999999999</v>
      </c>
      <c r="L107" s="160">
        <f t="shared" si="62"/>
        <v>2881.2135300365248</v>
      </c>
      <c r="M107" s="160">
        <f t="shared" si="62"/>
        <v>2934.093530036525</v>
      </c>
      <c r="N107" s="161">
        <f t="shared" si="62"/>
        <v>2885.2335300365248</v>
      </c>
    </row>
    <row r="108" spans="1:15" s="13" customFormat="1" ht="15" customHeight="1" x14ac:dyDescent="0.2">
      <c r="A108" s="25"/>
      <c r="B108" s="89" t="s">
        <v>101</v>
      </c>
      <c r="C108" s="101">
        <f t="shared" ref="C108:N108" si="63">C98</f>
        <v>2190.75</v>
      </c>
      <c r="D108" s="101">
        <f t="shared" si="63"/>
        <v>2387.83</v>
      </c>
      <c r="E108" s="102">
        <f t="shared" si="63"/>
        <v>2396.5</v>
      </c>
      <c r="F108" s="102">
        <f t="shared" si="63"/>
        <v>2360.83</v>
      </c>
      <c r="G108" s="157">
        <f t="shared" si="63"/>
        <v>2338.6</v>
      </c>
      <c r="H108" s="101">
        <f t="shared" si="63"/>
        <v>2349.63</v>
      </c>
      <c r="I108" s="101">
        <f t="shared" si="63"/>
        <v>2605.3000000000002</v>
      </c>
      <c r="J108" s="101">
        <f t="shared" si="63"/>
        <v>2631.86</v>
      </c>
      <c r="K108" s="101">
        <f t="shared" si="63"/>
        <v>2580.61</v>
      </c>
      <c r="L108" s="101">
        <f t="shared" si="63"/>
        <v>2625.93</v>
      </c>
      <c r="M108" s="101">
        <f t="shared" si="63"/>
        <v>2678.81</v>
      </c>
      <c r="N108" s="158">
        <f t="shared" si="63"/>
        <v>2629.95</v>
      </c>
    </row>
    <row r="109" spans="1:15" s="13" customFormat="1" ht="15" customHeight="1" x14ac:dyDescent="0.2">
      <c r="A109" s="40"/>
      <c r="B109" s="90" t="s">
        <v>9</v>
      </c>
      <c r="C109" s="114">
        <f t="shared" ref="C109:N109" si="64">C100</f>
        <v>177.82999999999998</v>
      </c>
      <c r="D109" s="114">
        <f t="shared" si="64"/>
        <v>177.82999999999998</v>
      </c>
      <c r="E109" s="115">
        <f t="shared" si="64"/>
        <v>177.82999999999998</v>
      </c>
      <c r="F109" s="115">
        <f t="shared" si="64"/>
        <v>177.82999999999998</v>
      </c>
      <c r="G109" s="121">
        <f t="shared" si="64"/>
        <v>177.82999999999998</v>
      </c>
      <c r="H109" s="115">
        <f t="shared" si="64"/>
        <v>177.82999999999998</v>
      </c>
      <c r="I109" s="115">
        <f t="shared" si="64"/>
        <v>177.82999999999998</v>
      </c>
      <c r="J109" s="115">
        <f t="shared" si="64"/>
        <v>177.82999999999998</v>
      </c>
      <c r="K109" s="115">
        <f t="shared" si="64"/>
        <v>177.82999999999998</v>
      </c>
      <c r="L109" s="115">
        <f t="shared" si="64"/>
        <v>249.16</v>
      </c>
      <c r="M109" s="115">
        <f t="shared" si="64"/>
        <v>249.16</v>
      </c>
      <c r="N109" s="122">
        <f t="shared" si="64"/>
        <v>249.16</v>
      </c>
    </row>
    <row r="110" spans="1:15" s="13" customFormat="1" ht="15" customHeight="1" x14ac:dyDescent="0.2">
      <c r="A110" s="81"/>
      <c r="B110" s="91" t="s">
        <v>42</v>
      </c>
      <c r="C110" s="106">
        <f t="shared" ref="C110:N110" si="65">C101</f>
        <v>5.3629999999999995</v>
      </c>
      <c r="D110" s="106">
        <f t="shared" si="65"/>
        <v>5.3629999999999995</v>
      </c>
      <c r="E110" s="107">
        <f t="shared" si="65"/>
        <v>5.3629999999999995</v>
      </c>
      <c r="F110" s="107">
        <f t="shared" si="65"/>
        <v>5.3629999999999995</v>
      </c>
      <c r="G110" s="108">
        <f t="shared" si="65"/>
        <v>5.3629999999999995</v>
      </c>
      <c r="H110" s="106">
        <f t="shared" si="65"/>
        <v>5.3629999999999995</v>
      </c>
      <c r="I110" s="106">
        <f t="shared" si="65"/>
        <v>5.3629999999999995</v>
      </c>
      <c r="J110" s="106">
        <f t="shared" si="65"/>
        <v>5.3629999999999995</v>
      </c>
      <c r="K110" s="106">
        <f t="shared" si="65"/>
        <v>5.3629999999999995</v>
      </c>
      <c r="L110" s="106">
        <f t="shared" si="65"/>
        <v>6.1235300365250511</v>
      </c>
      <c r="M110" s="106">
        <f t="shared" si="65"/>
        <v>6.1235300365250511</v>
      </c>
      <c r="N110" s="109">
        <f t="shared" si="65"/>
        <v>6.1235300365250511</v>
      </c>
    </row>
    <row r="111" spans="1:15" s="13" customFormat="1" ht="25.5" x14ac:dyDescent="0.2">
      <c r="A111" s="81"/>
      <c r="B111" s="87" t="s">
        <v>118</v>
      </c>
      <c r="C111" s="118">
        <f>SUM(C112:C113)</f>
        <v>1063691.4400000002</v>
      </c>
      <c r="D111" s="118">
        <f t="shared" ref="D111:N111" si="66">SUM(D112:D113)</f>
        <v>1007002.78</v>
      </c>
      <c r="E111" s="126">
        <f t="shared" si="66"/>
        <v>1062450.8899999999</v>
      </c>
      <c r="F111" s="126">
        <f t="shared" si="66"/>
        <v>1056190.19</v>
      </c>
      <c r="G111" s="118">
        <f t="shared" si="66"/>
        <v>1227142.22</v>
      </c>
      <c r="H111" s="118">
        <f t="shared" si="66"/>
        <v>1197387.5999999999</v>
      </c>
      <c r="I111" s="118">
        <f t="shared" si="66"/>
        <v>1200392.96</v>
      </c>
      <c r="J111" s="118">
        <f t="shared" si="66"/>
        <v>1192228.79</v>
      </c>
      <c r="K111" s="118">
        <f t="shared" si="66"/>
        <v>1192669.18</v>
      </c>
      <c r="L111" s="118">
        <f t="shared" si="66"/>
        <v>1225813.8399999999</v>
      </c>
      <c r="M111" s="118">
        <f t="shared" si="66"/>
        <v>1234126.6700000002</v>
      </c>
      <c r="N111" s="127">
        <f t="shared" si="66"/>
        <v>1233361.28</v>
      </c>
    </row>
    <row r="112" spans="1:15" s="13" customFormat="1" ht="25.5" x14ac:dyDescent="0.2">
      <c r="A112" s="81"/>
      <c r="B112" s="91" t="s">
        <v>116</v>
      </c>
      <c r="C112" s="101">
        <v>850.58</v>
      </c>
      <c r="D112" s="101">
        <v>1150.1400000000001</v>
      </c>
      <c r="E112" s="102">
        <v>1178.98</v>
      </c>
      <c r="F112" s="102">
        <v>1377.28</v>
      </c>
      <c r="G112" s="157">
        <v>1386.94</v>
      </c>
      <c r="H112" s="101">
        <v>1354.18</v>
      </c>
      <c r="I112" s="101">
        <v>1251.6600000000001</v>
      </c>
      <c r="J112" s="101">
        <v>1551.11</v>
      </c>
      <c r="K112" s="101">
        <v>1608.71</v>
      </c>
      <c r="L112" s="101">
        <v>1250.6400000000001</v>
      </c>
      <c r="M112" s="101">
        <v>1067.3599999999999</v>
      </c>
      <c r="N112" s="158">
        <v>1060.92</v>
      </c>
    </row>
    <row r="113" spans="1:15" s="13" customFormat="1" ht="26.25" thickBot="1" x14ac:dyDescent="0.25">
      <c r="A113" s="32"/>
      <c r="B113" s="186" t="s">
        <v>117</v>
      </c>
      <c r="C113" s="187">
        <v>1062840.8600000001</v>
      </c>
      <c r="D113" s="187">
        <v>1005852.64</v>
      </c>
      <c r="E113" s="100">
        <v>1061271.9099999999</v>
      </c>
      <c r="F113" s="100">
        <v>1054812.9099999999</v>
      </c>
      <c r="G113" s="192">
        <v>1225755.28</v>
      </c>
      <c r="H113" s="187">
        <v>1196033.42</v>
      </c>
      <c r="I113" s="187">
        <v>1199141.3</v>
      </c>
      <c r="J113" s="187">
        <v>1190677.68</v>
      </c>
      <c r="K113" s="187">
        <v>1191060.47</v>
      </c>
      <c r="L113" s="187">
        <v>1224563.2</v>
      </c>
      <c r="M113" s="187">
        <v>1233059.31</v>
      </c>
      <c r="N113" s="188">
        <v>1232300.3600000001</v>
      </c>
    </row>
    <row r="114" spans="1:15" s="13" customFormat="1" ht="15" thickBot="1" x14ac:dyDescent="0.25">
      <c r="A114" s="36" t="s">
        <v>92</v>
      </c>
      <c r="B114" s="37" t="s">
        <v>66</v>
      </c>
      <c r="C114" s="20"/>
      <c r="D114" s="20"/>
      <c r="E114" s="21"/>
      <c r="F114" s="21"/>
      <c r="G114" s="66"/>
      <c r="H114" s="20"/>
      <c r="I114" s="20"/>
      <c r="J114" s="20"/>
      <c r="K114" s="20"/>
      <c r="L114" s="20"/>
      <c r="M114" s="20"/>
      <c r="N114" s="55"/>
    </row>
    <row r="115" spans="1:15" s="13" customFormat="1" ht="14.25" customHeight="1" x14ac:dyDescent="0.2">
      <c r="A115" s="85"/>
      <c r="B115" s="88" t="s">
        <v>61</v>
      </c>
      <c r="C115" s="159">
        <f>SUM(C116:C118)</f>
        <v>2373.9429999999998</v>
      </c>
      <c r="D115" s="159">
        <f t="shared" ref="D115" si="67">SUM(D116:D118)</f>
        <v>2571.0229999999997</v>
      </c>
      <c r="E115" s="160">
        <f t="shared" ref="E115" si="68">SUM(E116:E118)</f>
        <v>2579.6929999999998</v>
      </c>
      <c r="F115" s="160">
        <f t="shared" ref="F115" si="69">SUM(F116:F118)</f>
        <v>2544.0229999999997</v>
      </c>
      <c r="G115" s="160">
        <f t="shared" ref="G115" si="70">SUM(G116:G118)</f>
        <v>2521.7929999999997</v>
      </c>
      <c r="H115" s="160">
        <f t="shared" ref="H115" si="71">SUM(H116:H118)</f>
        <v>2532.8229999999999</v>
      </c>
      <c r="I115" s="160">
        <f t="shared" ref="I115" si="72">SUM(I116:I118)</f>
        <v>2788.4929999999999</v>
      </c>
      <c r="J115" s="160">
        <f t="shared" ref="J115" si="73">SUM(J116:J118)</f>
        <v>2815.0529999999999</v>
      </c>
      <c r="K115" s="160">
        <f t="shared" ref="K115" si="74">SUM(K116:K118)</f>
        <v>2763.8029999999999</v>
      </c>
      <c r="L115" s="160">
        <f t="shared" ref="L115" si="75">SUM(L116:L118)</f>
        <v>2881.2135300365248</v>
      </c>
      <c r="M115" s="160">
        <f t="shared" ref="M115" si="76">SUM(M116:M118)</f>
        <v>2934.093530036525</v>
      </c>
      <c r="N115" s="161">
        <f t="shared" ref="N115" si="77">SUM(N116:N118)</f>
        <v>2885.2335300365248</v>
      </c>
    </row>
    <row r="116" spans="1:15" s="13" customFormat="1" x14ac:dyDescent="0.2">
      <c r="A116" s="25"/>
      <c r="B116" s="89" t="s">
        <v>101</v>
      </c>
      <c r="C116" s="101">
        <f t="shared" ref="C116:N116" si="78">C98</f>
        <v>2190.75</v>
      </c>
      <c r="D116" s="101">
        <f t="shared" si="78"/>
        <v>2387.83</v>
      </c>
      <c r="E116" s="102">
        <f t="shared" si="78"/>
        <v>2396.5</v>
      </c>
      <c r="F116" s="102">
        <f t="shared" si="78"/>
        <v>2360.83</v>
      </c>
      <c r="G116" s="157">
        <f t="shared" si="78"/>
        <v>2338.6</v>
      </c>
      <c r="H116" s="101">
        <f t="shared" si="78"/>
        <v>2349.63</v>
      </c>
      <c r="I116" s="101">
        <f t="shared" si="78"/>
        <v>2605.3000000000002</v>
      </c>
      <c r="J116" s="101">
        <f t="shared" si="78"/>
        <v>2631.86</v>
      </c>
      <c r="K116" s="101">
        <f t="shared" si="78"/>
        <v>2580.61</v>
      </c>
      <c r="L116" s="101">
        <f t="shared" si="78"/>
        <v>2625.93</v>
      </c>
      <c r="M116" s="101">
        <f t="shared" si="78"/>
        <v>2678.81</v>
      </c>
      <c r="N116" s="158">
        <f t="shared" si="78"/>
        <v>2629.95</v>
      </c>
    </row>
    <row r="117" spans="1:15" s="13" customFormat="1" x14ac:dyDescent="0.2">
      <c r="A117" s="40"/>
      <c r="B117" s="90" t="s">
        <v>9</v>
      </c>
      <c r="C117" s="114">
        <f t="shared" ref="C117:N117" si="79">C100</f>
        <v>177.82999999999998</v>
      </c>
      <c r="D117" s="114">
        <f t="shared" si="79"/>
        <v>177.82999999999998</v>
      </c>
      <c r="E117" s="115">
        <f t="shared" si="79"/>
        <v>177.82999999999998</v>
      </c>
      <c r="F117" s="115">
        <f t="shared" si="79"/>
        <v>177.82999999999998</v>
      </c>
      <c r="G117" s="121">
        <f t="shared" si="79"/>
        <v>177.82999999999998</v>
      </c>
      <c r="H117" s="115">
        <f t="shared" si="79"/>
        <v>177.82999999999998</v>
      </c>
      <c r="I117" s="115">
        <f t="shared" si="79"/>
        <v>177.82999999999998</v>
      </c>
      <c r="J117" s="115">
        <f t="shared" si="79"/>
        <v>177.82999999999998</v>
      </c>
      <c r="K117" s="115">
        <f t="shared" si="79"/>
        <v>177.82999999999998</v>
      </c>
      <c r="L117" s="115">
        <f t="shared" si="79"/>
        <v>249.16</v>
      </c>
      <c r="M117" s="115">
        <f t="shared" si="79"/>
        <v>249.16</v>
      </c>
      <c r="N117" s="122">
        <f t="shared" si="79"/>
        <v>249.16</v>
      </c>
    </row>
    <row r="118" spans="1:15" s="13" customFormat="1" x14ac:dyDescent="0.2">
      <c r="A118" s="81"/>
      <c r="B118" s="91" t="s">
        <v>42</v>
      </c>
      <c r="C118" s="106">
        <f t="shared" ref="C118:N118" si="80">C101</f>
        <v>5.3629999999999995</v>
      </c>
      <c r="D118" s="106">
        <f t="shared" si="80"/>
        <v>5.3629999999999995</v>
      </c>
      <c r="E118" s="107">
        <f t="shared" si="80"/>
        <v>5.3629999999999995</v>
      </c>
      <c r="F118" s="107">
        <f t="shared" si="80"/>
        <v>5.3629999999999995</v>
      </c>
      <c r="G118" s="108">
        <f t="shared" si="80"/>
        <v>5.3629999999999995</v>
      </c>
      <c r="H118" s="106">
        <f t="shared" si="80"/>
        <v>5.3629999999999995</v>
      </c>
      <c r="I118" s="106">
        <f t="shared" si="80"/>
        <v>5.3629999999999995</v>
      </c>
      <c r="J118" s="106">
        <f t="shared" si="80"/>
        <v>5.3629999999999995</v>
      </c>
      <c r="K118" s="106">
        <f t="shared" si="80"/>
        <v>5.3629999999999995</v>
      </c>
      <c r="L118" s="106">
        <f t="shared" si="80"/>
        <v>6.1235300365250511</v>
      </c>
      <c r="M118" s="106">
        <f t="shared" si="80"/>
        <v>6.1235300365250511</v>
      </c>
      <c r="N118" s="109">
        <f t="shared" si="80"/>
        <v>6.1235300365250511</v>
      </c>
    </row>
    <row r="119" spans="1:15" s="13" customFormat="1" ht="25.5" x14ac:dyDescent="0.2">
      <c r="A119" s="25"/>
      <c r="B119" s="87" t="s">
        <v>118</v>
      </c>
      <c r="C119" s="118">
        <f>SUM(C120:C121)</f>
        <v>1063691.4400000002</v>
      </c>
      <c r="D119" s="118">
        <f t="shared" ref="D119:N119" si="81">SUM(D120:D121)</f>
        <v>1007002.78</v>
      </c>
      <c r="E119" s="126">
        <f t="shared" si="81"/>
        <v>1062450.8899999999</v>
      </c>
      <c r="F119" s="126">
        <f t="shared" si="81"/>
        <v>1056190.19</v>
      </c>
      <c r="G119" s="118">
        <f t="shared" si="81"/>
        <v>1227142.22</v>
      </c>
      <c r="H119" s="118">
        <f t="shared" si="81"/>
        <v>1197387.5999999999</v>
      </c>
      <c r="I119" s="118">
        <f t="shared" si="81"/>
        <v>1200392.96</v>
      </c>
      <c r="J119" s="118">
        <f t="shared" si="81"/>
        <v>1192228.79</v>
      </c>
      <c r="K119" s="118">
        <f t="shared" si="81"/>
        <v>1192669.18</v>
      </c>
      <c r="L119" s="118">
        <f t="shared" si="81"/>
        <v>1225813.8399999999</v>
      </c>
      <c r="M119" s="118">
        <f t="shared" si="81"/>
        <v>1234126.6700000002</v>
      </c>
      <c r="N119" s="127">
        <f t="shared" si="81"/>
        <v>1233361.28</v>
      </c>
    </row>
    <row r="120" spans="1:15" s="13" customFormat="1" ht="25.5" x14ac:dyDescent="0.2">
      <c r="A120" s="29"/>
      <c r="B120" s="91" t="s">
        <v>116</v>
      </c>
      <c r="C120" s="101">
        <v>850.58</v>
      </c>
      <c r="D120" s="101">
        <v>1150.1400000000001</v>
      </c>
      <c r="E120" s="102">
        <v>1178.98</v>
      </c>
      <c r="F120" s="102">
        <v>1377.28</v>
      </c>
      <c r="G120" s="157">
        <v>1386.94</v>
      </c>
      <c r="H120" s="101">
        <v>1354.18</v>
      </c>
      <c r="I120" s="101">
        <v>1251.6600000000001</v>
      </c>
      <c r="J120" s="101">
        <v>1551.11</v>
      </c>
      <c r="K120" s="101">
        <v>1608.71</v>
      </c>
      <c r="L120" s="101">
        <v>1250.6400000000001</v>
      </c>
      <c r="M120" s="101">
        <v>1067.3599999999999</v>
      </c>
      <c r="N120" s="158">
        <v>1060.92</v>
      </c>
    </row>
    <row r="121" spans="1:15" s="13" customFormat="1" ht="25.5" x14ac:dyDescent="0.2">
      <c r="A121" s="25"/>
      <c r="B121" s="90" t="s">
        <v>117</v>
      </c>
      <c r="C121" s="146">
        <v>1062840.8600000001</v>
      </c>
      <c r="D121" s="146">
        <v>1005852.64</v>
      </c>
      <c r="E121" s="99">
        <v>1061271.9099999999</v>
      </c>
      <c r="F121" s="99">
        <v>1054812.9099999999</v>
      </c>
      <c r="G121" s="147">
        <v>1225755.28</v>
      </c>
      <c r="H121" s="146">
        <v>1196033.42</v>
      </c>
      <c r="I121" s="146">
        <v>1199141.3</v>
      </c>
      <c r="J121" s="146">
        <v>1190677.68</v>
      </c>
      <c r="K121" s="146">
        <v>1191060.47</v>
      </c>
      <c r="L121" s="146">
        <v>1224563.2</v>
      </c>
      <c r="M121" s="146">
        <v>1233059.31</v>
      </c>
      <c r="N121" s="148">
        <v>1232300.3600000001</v>
      </c>
    </row>
    <row r="122" spans="1:15" s="13" customFormat="1" ht="26.25" thickBot="1" x14ac:dyDescent="0.25">
      <c r="A122" s="41"/>
      <c r="B122" s="93" t="s">
        <v>65</v>
      </c>
      <c r="C122" s="129">
        <f>C105</f>
        <v>1327021.72</v>
      </c>
      <c r="D122" s="129">
        <f t="shared" ref="D122:N122" si="82">D105</f>
        <v>1327021.72</v>
      </c>
      <c r="E122" s="130">
        <f t="shared" si="82"/>
        <v>1327021.72</v>
      </c>
      <c r="F122" s="130">
        <f t="shared" si="82"/>
        <v>1327021.72</v>
      </c>
      <c r="G122" s="133">
        <f t="shared" si="82"/>
        <v>1327021.72</v>
      </c>
      <c r="H122" s="129">
        <f t="shared" si="82"/>
        <v>1327021.72</v>
      </c>
      <c r="I122" s="129">
        <f t="shared" si="82"/>
        <v>1327021.72</v>
      </c>
      <c r="J122" s="129">
        <f t="shared" si="82"/>
        <v>1327021.72</v>
      </c>
      <c r="K122" s="129">
        <f t="shared" si="82"/>
        <v>1327021.72</v>
      </c>
      <c r="L122" s="129">
        <f t="shared" si="82"/>
        <v>1528729.02</v>
      </c>
      <c r="M122" s="129">
        <f t="shared" si="82"/>
        <v>1528729.02</v>
      </c>
      <c r="N122" s="134">
        <f t="shared" si="82"/>
        <v>1528729.02</v>
      </c>
    </row>
    <row r="123" spans="1:15" s="13" customFormat="1" x14ac:dyDescent="0.2">
      <c r="A123" s="45"/>
      <c r="B123" s="95"/>
      <c r="C123" s="96"/>
      <c r="D123" s="96"/>
      <c r="E123" s="97"/>
      <c r="F123" s="97"/>
      <c r="G123" s="96"/>
      <c r="H123" s="96"/>
      <c r="I123" s="96"/>
      <c r="J123" s="96"/>
      <c r="K123" s="96"/>
      <c r="L123" s="96"/>
      <c r="M123" s="96"/>
      <c r="N123" s="96"/>
    </row>
    <row r="124" spans="1:15" s="13" customFormat="1" x14ac:dyDescent="0.2">
      <c r="A124" s="45"/>
      <c r="B124" s="95"/>
      <c r="C124" s="96"/>
      <c r="D124" s="96"/>
      <c r="E124" s="97"/>
      <c r="F124" s="97"/>
      <c r="G124" s="96"/>
      <c r="H124" s="96"/>
      <c r="I124" s="96"/>
      <c r="J124" s="96"/>
      <c r="K124" s="96"/>
      <c r="L124" s="96"/>
      <c r="M124" s="96"/>
      <c r="N124" s="96"/>
    </row>
    <row r="125" spans="1:15" s="59" customFormat="1" ht="21" customHeight="1" thickBot="1" x14ac:dyDescent="0.25">
      <c r="A125" s="7" t="s">
        <v>82</v>
      </c>
      <c r="B125" s="7"/>
      <c r="C125" s="7"/>
      <c r="D125" s="7"/>
      <c r="E125" s="7"/>
      <c r="F125" s="7"/>
      <c r="G125" s="5"/>
      <c r="H125" s="5"/>
      <c r="I125" s="5"/>
      <c r="J125" s="5"/>
      <c r="K125" s="5"/>
      <c r="L125" s="6"/>
      <c r="M125" s="6"/>
      <c r="N125" s="6"/>
    </row>
    <row r="126" spans="1:15" s="13" customFormat="1" ht="24" customHeight="1" thickBot="1" x14ac:dyDescent="0.25">
      <c r="A126" s="49" t="s">
        <v>0</v>
      </c>
      <c r="B126" s="50" t="s">
        <v>1</v>
      </c>
      <c r="C126" s="51" t="s">
        <v>17</v>
      </c>
      <c r="D126" s="51" t="s">
        <v>18</v>
      </c>
      <c r="E126" s="51" t="s">
        <v>19</v>
      </c>
      <c r="F126" s="51" t="s">
        <v>20</v>
      </c>
      <c r="G126" s="51" t="s">
        <v>21</v>
      </c>
      <c r="H126" s="51" t="s">
        <v>22</v>
      </c>
      <c r="I126" s="51" t="s">
        <v>23</v>
      </c>
      <c r="J126" s="51" t="s">
        <v>24</v>
      </c>
      <c r="K126" s="51" t="s">
        <v>25</v>
      </c>
      <c r="L126" s="51" t="s">
        <v>26</v>
      </c>
      <c r="M126" s="51" t="s">
        <v>27</v>
      </c>
      <c r="N126" s="52" t="s">
        <v>28</v>
      </c>
    </row>
    <row r="127" spans="1:15" s="17" customFormat="1" ht="21" customHeight="1" thickBot="1" x14ac:dyDescent="0.25">
      <c r="A127" s="14" t="s">
        <v>34</v>
      </c>
      <c r="B127" s="15" t="s">
        <v>5</v>
      </c>
      <c r="C127" s="70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2"/>
      <c r="O127" s="44"/>
    </row>
    <row r="128" spans="1:15" s="17" customFormat="1" ht="13.5" thickBot="1" x14ac:dyDescent="0.25">
      <c r="A128" s="18" t="s">
        <v>35</v>
      </c>
      <c r="B128" s="78" t="s">
        <v>7</v>
      </c>
      <c r="C128" s="20"/>
      <c r="D128" s="20"/>
      <c r="E128" s="21"/>
      <c r="F128" s="21"/>
      <c r="G128" s="63"/>
      <c r="H128" s="21"/>
      <c r="I128" s="21"/>
      <c r="J128" s="21"/>
      <c r="K128" s="21"/>
      <c r="L128" s="21"/>
      <c r="M128" s="21"/>
      <c r="N128" s="22"/>
      <c r="O128" s="61"/>
    </row>
    <row r="129" spans="1:15" s="17" customFormat="1" ht="15.75" customHeight="1" x14ac:dyDescent="0.2">
      <c r="A129" s="83"/>
      <c r="B129" s="86" t="s">
        <v>61</v>
      </c>
      <c r="C129" s="155">
        <f>SUM(C130:C133)</f>
        <v>2902.5829999999996</v>
      </c>
      <c r="D129" s="155">
        <f t="shared" ref="D129:N129" si="83">SUM(D130:D133)</f>
        <v>3099.6629999999996</v>
      </c>
      <c r="E129" s="156">
        <f t="shared" si="83"/>
        <v>3108.3329999999996</v>
      </c>
      <c r="F129" s="156">
        <f t="shared" si="83"/>
        <v>3072.6629999999996</v>
      </c>
      <c r="G129" s="156">
        <f t="shared" si="83"/>
        <v>3050.4329999999995</v>
      </c>
      <c r="H129" s="156">
        <f t="shared" si="83"/>
        <v>3061.4629999999997</v>
      </c>
      <c r="I129" s="156">
        <f t="shared" si="83"/>
        <v>3317.1329999999998</v>
      </c>
      <c r="J129" s="156">
        <f t="shared" si="83"/>
        <v>3343.6929999999998</v>
      </c>
      <c r="K129" s="156">
        <f t="shared" si="83"/>
        <v>3292.4429999999998</v>
      </c>
      <c r="L129" s="156">
        <f t="shared" si="83"/>
        <v>3490.2035300365251</v>
      </c>
      <c r="M129" s="156">
        <f t="shared" si="83"/>
        <v>3543.0835300365252</v>
      </c>
      <c r="N129" s="162">
        <f t="shared" si="83"/>
        <v>3494.2235300365246</v>
      </c>
      <c r="O129" s="61"/>
    </row>
    <row r="130" spans="1:15" s="13" customFormat="1" ht="15" customHeight="1" x14ac:dyDescent="0.2">
      <c r="A130" s="29"/>
      <c r="B130" s="89" t="s">
        <v>101</v>
      </c>
      <c r="C130" s="101">
        <v>2190.75</v>
      </c>
      <c r="D130" s="101">
        <v>2387.83</v>
      </c>
      <c r="E130" s="102">
        <v>2396.5</v>
      </c>
      <c r="F130" s="102">
        <v>2360.83</v>
      </c>
      <c r="G130" s="157">
        <v>2338.6</v>
      </c>
      <c r="H130" s="101">
        <v>2349.63</v>
      </c>
      <c r="I130" s="101">
        <v>2605.3000000000002</v>
      </c>
      <c r="J130" s="101">
        <v>2631.86</v>
      </c>
      <c r="K130" s="101">
        <v>2580.61</v>
      </c>
      <c r="L130" s="101">
        <v>2625.93</v>
      </c>
      <c r="M130" s="101">
        <v>2678.81</v>
      </c>
      <c r="N130" s="158">
        <v>2629.95</v>
      </c>
      <c r="O130" s="61"/>
    </row>
    <row r="131" spans="1:15" s="13" customFormat="1" ht="15" customHeight="1" x14ac:dyDescent="0.2">
      <c r="A131" s="25"/>
      <c r="B131" s="90" t="s">
        <v>64</v>
      </c>
      <c r="C131" s="114">
        <v>528.64</v>
      </c>
      <c r="D131" s="114">
        <v>528.64</v>
      </c>
      <c r="E131" s="115">
        <v>528.64</v>
      </c>
      <c r="F131" s="115">
        <v>528.64</v>
      </c>
      <c r="G131" s="116">
        <v>528.64</v>
      </c>
      <c r="H131" s="114">
        <v>528.64</v>
      </c>
      <c r="I131" s="114">
        <v>528.64</v>
      </c>
      <c r="J131" s="114">
        <v>528.64</v>
      </c>
      <c r="K131" s="114">
        <v>528.64</v>
      </c>
      <c r="L131" s="114">
        <v>608.99</v>
      </c>
      <c r="M131" s="114">
        <v>608.99</v>
      </c>
      <c r="N131" s="117">
        <v>608.99</v>
      </c>
      <c r="O131" s="61"/>
    </row>
    <row r="132" spans="1:15" s="13" customFormat="1" ht="15" customHeight="1" x14ac:dyDescent="0.2">
      <c r="A132" s="29"/>
      <c r="B132" s="89" t="s">
        <v>9</v>
      </c>
      <c r="C132" s="114">
        <v>177.82999999999998</v>
      </c>
      <c r="D132" s="114">
        <v>177.82999999999998</v>
      </c>
      <c r="E132" s="115">
        <v>177.82999999999998</v>
      </c>
      <c r="F132" s="115">
        <v>177.82999999999998</v>
      </c>
      <c r="G132" s="116">
        <v>177.82999999999998</v>
      </c>
      <c r="H132" s="114">
        <v>177.82999999999998</v>
      </c>
      <c r="I132" s="114">
        <v>177.82999999999998</v>
      </c>
      <c r="J132" s="114">
        <v>177.82999999999998</v>
      </c>
      <c r="K132" s="114">
        <v>177.82999999999998</v>
      </c>
      <c r="L132" s="114">
        <v>249.16</v>
      </c>
      <c r="M132" s="114">
        <v>249.16</v>
      </c>
      <c r="N132" s="117">
        <v>249.16</v>
      </c>
      <c r="O132" s="61"/>
    </row>
    <row r="133" spans="1:15" s="13" customFormat="1" ht="15" customHeight="1" x14ac:dyDescent="0.2">
      <c r="A133" s="81"/>
      <c r="B133" s="91" t="s">
        <v>42</v>
      </c>
      <c r="C133" s="106">
        <v>5.3629999999999995</v>
      </c>
      <c r="D133" s="106">
        <v>5.3629999999999995</v>
      </c>
      <c r="E133" s="107">
        <v>5.3629999999999995</v>
      </c>
      <c r="F133" s="107">
        <v>5.3629999999999995</v>
      </c>
      <c r="G133" s="108">
        <v>5.3629999999999995</v>
      </c>
      <c r="H133" s="106">
        <v>5.3629999999999995</v>
      </c>
      <c r="I133" s="106">
        <v>5.3629999999999995</v>
      </c>
      <c r="J133" s="106">
        <v>5.3629999999999995</v>
      </c>
      <c r="K133" s="106">
        <v>5.3629999999999995</v>
      </c>
      <c r="L133" s="106">
        <v>6.1235300365250511</v>
      </c>
      <c r="M133" s="106">
        <v>6.1235300365250511</v>
      </c>
      <c r="N133" s="109">
        <v>6.1235300365250511</v>
      </c>
      <c r="O133" s="61"/>
    </row>
    <row r="134" spans="1:15" s="13" customFormat="1" ht="25.5" x14ac:dyDescent="0.2">
      <c r="A134" s="25"/>
      <c r="B134" s="87" t="s">
        <v>118</v>
      </c>
      <c r="C134" s="118">
        <f>SUM(C135:C136)</f>
        <v>1063691.4400000002</v>
      </c>
      <c r="D134" s="118">
        <f t="shared" ref="D134:N134" si="84">SUM(D135:D136)</f>
        <v>1007002.78</v>
      </c>
      <c r="E134" s="126">
        <f t="shared" si="84"/>
        <v>1062450.8899999999</v>
      </c>
      <c r="F134" s="126">
        <f t="shared" si="84"/>
        <v>1056190.19</v>
      </c>
      <c r="G134" s="118">
        <f t="shared" si="84"/>
        <v>1227142.22</v>
      </c>
      <c r="H134" s="118">
        <f t="shared" si="84"/>
        <v>1197387.5999999999</v>
      </c>
      <c r="I134" s="118">
        <f t="shared" si="84"/>
        <v>1200392.96</v>
      </c>
      <c r="J134" s="118">
        <f t="shared" si="84"/>
        <v>1192228.79</v>
      </c>
      <c r="K134" s="118">
        <f t="shared" si="84"/>
        <v>1192669.18</v>
      </c>
      <c r="L134" s="118">
        <f t="shared" si="84"/>
        <v>1225813.8399999999</v>
      </c>
      <c r="M134" s="118">
        <f t="shared" si="84"/>
        <v>1234126.6700000002</v>
      </c>
      <c r="N134" s="127">
        <f t="shared" si="84"/>
        <v>1233361.28</v>
      </c>
      <c r="O134" s="61"/>
    </row>
    <row r="135" spans="1:15" s="13" customFormat="1" ht="25.5" x14ac:dyDescent="0.2">
      <c r="A135" s="29"/>
      <c r="B135" s="91" t="s">
        <v>116</v>
      </c>
      <c r="C135" s="101">
        <v>850.58</v>
      </c>
      <c r="D135" s="101">
        <v>1150.1400000000001</v>
      </c>
      <c r="E135" s="102">
        <v>1178.98</v>
      </c>
      <c r="F135" s="102">
        <v>1377.28</v>
      </c>
      <c r="G135" s="157">
        <v>1386.94</v>
      </c>
      <c r="H135" s="101">
        <v>1354.18</v>
      </c>
      <c r="I135" s="101">
        <v>1251.6600000000001</v>
      </c>
      <c r="J135" s="101">
        <v>1551.11</v>
      </c>
      <c r="K135" s="101">
        <v>1608.71</v>
      </c>
      <c r="L135" s="101">
        <v>1250.6400000000001</v>
      </c>
      <c r="M135" s="101">
        <v>1067.3599999999999</v>
      </c>
      <c r="N135" s="158">
        <v>1060.92</v>
      </c>
      <c r="O135" s="61"/>
    </row>
    <row r="136" spans="1:15" s="13" customFormat="1" ht="25.5" x14ac:dyDescent="0.2">
      <c r="A136" s="25"/>
      <c r="B136" s="90" t="s">
        <v>117</v>
      </c>
      <c r="C136" s="146">
        <v>1062840.8600000001</v>
      </c>
      <c r="D136" s="146">
        <v>1005852.64</v>
      </c>
      <c r="E136" s="99">
        <v>1061271.9099999999</v>
      </c>
      <c r="F136" s="99">
        <v>1054812.9099999999</v>
      </c>
      <c r="G136" s="147">
        <v>1225755.28</v>
      </c>
      <c r="H136" s="146">
        <v>1196033.42</v>
      </c>
      <c r="I136" s="146">
        <v>1199141.3</v>
      </c>
      <c r="J136" s="146">
        <v>1190677.68</v>
      </c>
      <c r="K136" s="146">
        <v>1191060.47</v>
      </c>
      <c r="L136" s="146">
        <v>1224563.2</v>
      </c>
      <c r="M136" s="146">
        <v>1233059.31</v>
      </c>
      <c r="N136" s="148">
        <v>1232300.3600000001</v>
      </c>
      <c r="O136" s="61"/>
    </row>
    <row r="137" spans="1:15" s="13" customFormat="1" ht="26.25" thickBot="1" x14ac:dyDescent="0.25">
      <c r="A137" s="41"/>
      <c r="B137" s="191" t="s">
        <v>65</v>
      </c>
      <c r="C137" s="128">
        <v>1661213.17</v>
      </c>
      <c r="D137" s="129">
        <v>1661213.17</v>
      </c>
      <c r="E137" s="130">
        <v>1661213.17</v>
      </c>
      <c r="F137" s="130">
        <v>1661213.17</v>
      </c>
      <c r="G137" s="131">
        <v>1661213.17</v>
      </c>
      <c r="H137" s="128">
        <v>1661213.17</v>
      </c>
      <c r="I137" s="129">
        <v>1661213.17</v>
      </c>
      <c r="J137" s="128">
        <v>1661213.17</v>
      </c>
      <c r="K137" s="129">
        <v>1661213.17</v>
      </c>
      <c r="L137" s="128">
        <v>1913717.57</v>
      </c>
      <c r="M137" s="129">
        <v>1913717.57</v>
      </c>
      <c r="N137" s="132">
        <v>1913717.57</v>
      </c>
      <c r="O137" s="61"/>
    </row>
    <row r="138" spans="1:15" s="13" customFormat="1" ht="26.25" customHeight="1" thickBot="1" x14ac:dyDescent="0.25">
      <c r="A138" s="36" t="s">
        <v>36</v>
      </c>
      <c r="B138" s="37" t="s">
        <v>11</v>
      </c>
      <c r="C138" s="20"/>
      <c r="D138" s="20"/>
      <c r="E138" s="21"/>
      <c r="F138" s="21"/>
      <c r="G138" s="66"/>
      <c r="H138" s="20"/>
      <c r="I138" s="20"/>
      <c r="J138" s="20"/>
      <c r="K138" s="20"/>
      <c r="L138" s="20"/>
      <c r="M138" s="20"/>
      <c r="N138" s="55"/>
      <c r="O138" s="61"/>
    </row>
    <row r="139" spans="1:15" s="13" customFormat="1" ht="14.25" customHeight="1" x14ac:dyDescent="0.2">
      <c r="A139" s="85"/>
      <c r="B139" s="88" t="s">
        <v>61</v>
      </c>
      <c r="C139" s="159">
        <f>SUM(C140:C142)</f>
        <v>2373.9429999999998</v>
      </c>
      <c r="D139" s="159">
        <f t="shared" ref="D139:N139" si="85">SUM(D140:D142)</f>
        <v>2571.0229999999997</v>
      </c>
      <c r="E139" s="160">
        <f t="shared" si="85"/>
        <v>2579.6929999999998</v>
      </c>
      <c r="F139" s="160">
        <f t="shared" si="85"/>
        <v>2544.0229999999997</v>
      </c>
      <c r="G139" s="160">
        <f t="shared" si="85"/>
        <v>2521.7929999999997</v>
      </c>
      <c r="H139" s="160">
        <f t="shared" si="85"/>
        <v>2532.8229999999999</v>
      </c>
      <c r="I139" s="160">
        <f t="shared" si="85"/>
        <v>2788.4929999999999</v>
      </c>
      <c r="J139" s="160">
        <f t="shared" si="85"/>
        <v>2815.0529999999999</v>
      </c>
      <c r="K139" s="160">
        <f t="shared" si="85"/>
        <v>2763.8029999999999</v>
      </c>
      <c r="L139" s="160">
        <f t="shared" si="85"/>
        <v>2881.2135300365248</v>
      </c>
      <c r="M139" s="160">
        <f t="shared" si="85"/>
        <v>2934.093530036525</v>
      </c>
      <c r="N139" s="161">
        <f t="shared" si="85"/>
        <v>2885.2335300365248</v>
      </c>
      <c r="O139" s="61"/>
    </row>
    <row r="140" spans="1:15" s="13" customFormat="1" ht="15" customHeight="1" x14ac:dyDescent="0.2">
      <c r="A140" s="25"/>
      <c r="B140" s="89" t="s">
        <v>101</v>
      </c>
      <c r="C140" s="101">
        <f t="shared" ref="C140:N140" si="86">C130</f>
        <v>2190.75</v>
      </c>
      <c r="D140" s="101">
        <f t="shared" si="86"/>
        <v>2387.83</v>
      </c>
      <c r="E140" s="102">
        <f t="shared" si="86"/>
        <v>2396.5</v>
      </c>
      <c r="F140" s="102">
        <f t="shared" si="86"/>
        <v>2360.83</v>
      </c>
      <c r="G140" s="157">
        <f t="shared" si="86"/>
        <v>2338.6</v>
      </c>
      <c r="H140" s="101">
        <f t="shared" si="86"/>
        <v>2349.63</v>
      </c>
      <c r="I140" s="101">
        <f t="shared" si="86"/>
        <v>2605.3000000000002</v>
      </c>
      <c r="J140" s="101">
        <f t="shared" si="86"/>
        <v>2631.86</v>
      </c>
      <c r="K140" s="101">
        <f t="shared" si="86"/>
        <v>2580.61</v>
      </c>
      <c r="L140" s="101">
        <f t="shared" si="86"/>
        <v>2625.93</v>
      </c>
      <c r="M140" s="101">
        <f t="shared" si="86"/>
        <v>2678.81</v>
      </c>
      <c r="N140" s="158">
        <f t="shared" si="86"/>
        <v>2629.95</v>
      </c>
    </row>
    <row r="141" spans="1:15" s="13" customFormat="1" ht="15" customHeight="1" x14ac:dyDescent="0.2">
      <c r="A141" s="40"/>
      <c r="B141" s="90" t="s">
        <v>9</v>
      </c>
      <c r="C141" s="114">
        <f t="shared" ref="C141:N141" si="87">C132</f>
        <v>177.82999999999998</v>
      </c>
      <c r="D141" s="114">
        <f t="shared" si="87"/>
        <v>177.82999999999998</v>
      </c>
      <c r="E141" s="115">
        <f t="shared" si="87"/>
        <v>177.82999999999998</v>
      </c>
      <c r="F141" s="115">
        <f t="shared" si="87"/>
        <v>177.82999999999998</v>
      </c>
      <c r="G141" s="121">
        <f t="shared" si="87"/>
        <v>177.82999999999998</v>
      </c>
      <c r="H141" s="115">
        <f t="shared" si="87"/>
        <v>177.82999999999998</v>
      </c>
      <c r="I141" s="115">
        <f t="shared" si="87"/>
        <v>177.82999999999998</v>
      </c>
      <c r="J141" s="115">
        <f t="shared" si="87"/>
        <v>177.82999999999998</v>
      </c>
      <c r="K141" s="115">
        <f t="shared" si="87"/>
        <v>177.82999999999998</v>
      </c>
      <c r="L141" s="115">
        <f t="shared" si="87"/>
        <v>249.16</v>
      </c>
      <c r="M141" s="115">
        <f t="shared" si="87"/>
        <v>249.16</v>
      </c>
      <c r="N141" s="122">
        <f t="shared" si="87"/>
        <v>249.16</v>
      </c>
    </row>
    <row r="142" spans="1:15" s="13" customFormat="1" ht="15" customHeight="1" x14ac:dyDescent="0.2">
      <c r="A142" s="81"/>
      <c r="B142" s="91" t="s">
        <v>42</v>
      </c>
      <c r="C142" s="106">
        <f t="shared" ref="C142:N142" si="88">C133</f>
        <v>5.3629999999999995</v>
      </c>
      <c r="D142" s="106">
        <f t="shared" si="88"/>
        <v>5.3629999999999995</v>
      </c>
      <c r="E142" s="107">
        <f t="shared" si="88"/>
        <v>5.3629999999999995</v>
      </c>
      <c r="F142" s="107">
        <f t="shared" si="88"/>
        <v>5.3629999999999995</v>
      </c>
      <c r="G142" s="108">
        <f t="shared" si="88"/>
        <v>5.3629999999999995</v>
      </c>
      <c r="H142" s="106">
        <f t="shared" si="88"/>
        <v>5.3629999999999995</v>
      </c>
      <c r="I142" s="106">
        <f t="shared" si="88"/>
        <v>5.3629999999999995</v>
      </c>
      <c r="J142" s="106">
        <f t="shared" si="88"/>
        <v>5.3629999999999995</v>
      </c>
      <c r="K142" s="106">
        <f t="shared" si="88"/>
        <v>5.3629999999999995</v>
      </c>
      <c r="L142" s="106">
        <f t="shared" si="88"/>
        <v>6.1235300365250511</v>
      </c>
      <c r="M142" s="106">
        <f t="shared" si="88"/>
        <v>6.1235300365250511</v>
      </c>
      <c r="N142" s="109">
        <f t="shared" si="88"/>
        <v>6.1235300365250511</v>
      </c>
    </row>
    <row r="143" spans="1:15" s="13" customFormat="1" ht="25.5" x14ac:dyDescent="0.2">
      <c r="A143" s="81"/>
      <c r="B143" s="87" t="s">
        <v>118</v>
      </c>
      <c r="C143" s="118">
        <f>SUM(C144:C145)</f>
        <v>1063691.4400000002</v>
      </c>
      <c r="D143" s="118">
        <f t="shared" ref="D143:N143" si="89">SUM(D144:D145)</f>
        <v>1007002.78</v>
      </c>
      <c r="E143" s="126">
        <f t="shared" si="89"/>
        <v>1062450.8899999999</v>
      </c>
      <c r="F143" s="126">
        <f t="shared" si="89"/>
        <v>1056190.19</v>
      </c>
      <c r="G143" s="118">
        <f t="shared" si="89"/>
        <v>1227142.22</v>
      </c>
      <c r="H143" s="118">
        <f t="shared" si="89"/>
        <v>1197387.5999999999</v>
      </c>
      <c r="I143" s="118">
        <f t="shared" si="89"/>
        <v>1200392.96</v>
      </c>
      <c r="J143" s="118">
        <f t="shared" si="89"/>
        <v>1192228.79</v>
      </c>
      <c r="K143" s="118">
        <f t="shared" si="89"/>
        <v>1192669.18</v>
      </c>
      <c r="L143" s="118">
        <f t="shared" si="89"/>
        <v>1225813.8399999999</v>
      </c>
      <c r="M143" s="118">
        <f t="shared" si="89"/>
        <v>1234126.6700000002</v>
      </c>
      <c r="N143" s="127">
        <f t="shared" si="89"/>
        <v>1233361.28</v>
      </c>
    </row>
    <row r="144" spans="1:15" s="13" customFormat="1" ht="25.5" x14ac:dyDescent="0.2">
      <c r="A144" s="81"/>
      <c r="B144" s="91" t="s">
        <v>116</v>
      </c>
      <c r="C144" s="101">
        <v>850.58</v>
      </c>
      <c r="D144" s="101">
        <v>1150.1400000000001</v>
      </c>
      <c r="E144" s="102">
        <v>1178.98</v>
      </c>
      <c r="F144" s="102">
        <v>1377.28</v>
      </c>
      <c r="G144" s="157">
        <v>1386.94</v>
      </c>
      <c r="H144" s="101">
        <v>1354.18</v>
      </c>
      <c r="I144" s="101">
        <v>1251.6600000000001</v>
      </c>
      <c r="J144" s="101">
        <v>1551.11</v>
      </c>
      <c r="K144" s="101">
        <v>1608.71</v>
      </c>
      <c r="L144" s="101">
        <v>1250.6400000000001</v>
      </c>
      <c r="M144" s="101">
        <v>1067.3599999999999</v>
      </c>
      <c r="N144" s="158">
        <v>1060.92</v>
      </c>
    </row>
    <row r="145" spans="1:15" s="13" customFormat="1" ht="26.25" thickBot="1" x14ac:dyDescent="0.25">
      <c r="A145" s="32"/>
      <c r="B145" s="186" t="s">
        <v>117</v>
      </c>
      <c r="C145" s="187">
        <v>1062840.8600000001</v>
      </c>
      <c r="D145" s="187">
        <v>1005852.64</v>
      </c>
      <c r="E145" s="100">
        <v>1061271.9099999999</v>
      </c>
      <c r="F145" s="100">
        <v>1054812.9099999999</v>
      </c>
      <c r="G145" s="192">
        <v>1225755.28</v>
      </c>
      <c r="H145" s="187">
        <v>1196033.42</v>
      </c>
      <c r="I145" s="187">
        <v>1199141.3</v>
      </c>
      <c r="J145" s="187">
        <v>1190677.68</v>
      </c>
      <c r="K145" s="187">
        <v>1191060.47</v>
      </c>
      <c r="L145" s="187">
        <v>1224563.2</v>
      </c>
      <c r="M145" s="187">
        <v>1233059.31</v>
      </c>
      <c r="N145" s="188">
        <v>1232300.3600000001</v>
      </c>
    </row>
    <row r="146" spans="1:15" ht="15" customHeight="1" thickBot="1" x14ac:dyDescent="0.25">
      <c r="A146" s="36" t="s">
        <v>104</v>
      </c>
      <c r="B146" s="37" t="s">
        <v>66</v>
      </c>
      <c r="C146" s="20"/>
      <c r="D146" s="20"/>
      <c r="E146" s="21"/>
      <c r="F146" s="21"/>
      <c r="G146" s="66"/>
      <c r="H146" s="20"/>
      <c r="I146" s="20"/>
      <c r="J146" s="20"/>
      <c r="K146" s="20"/>
      <c r="L146" s="20"/>
      <c r="M146" s="20"/>
      <c r="N146" s="55"/>
      <c r="O146" s="13"/>
    </row>
    <row r="147" spans="1:15" ht="15" customHeight="1" x14ac:dyDescent="0.2">
      <c r="A147" s="85"/>
      <c r="B147" s="88" t="s">
        <v>61</v>
      </c>
      <c r="C147" s="159">
        <f>SUM(C148:C150)</f>
        <v>2373.9429999999998</v>
      </c>
      <c r="D147" s="159">
        <f t="shared" ref="D147:N147" si="90">SUM(D148:D150)</f>
        <v>2571.0229999999997</v>
      </c>
      <c r="E147" s="160">
        <f t="shared" si="90"/>
        <v>2579.6929999999998</v>
      </c>
      <c r="F147" s="160">
        <f t="shared" si="90"/>
        <v>2544.0229999999997</v>
      </c>
      <c r="G147" s="160">
        <f t="shared" si="90"/>
        <v>2521.7929999999997</v>
      </c>
      <c r="H147" s="160">
        <f t="shared" si="90"/>
        <v>2532.8229999999999</v>
      </c>
      <c r="I147" s="160">
        <f t="shared" si="90"/>
        <v>2788.4929999999999</v>
      </c>
      <c r="J147" s="160">
        <f t="shared" si="90"/>
        <v>2815.0529999999999</v>
      </c>
      <c r="K147" s="160">
        <f t="shared" si="90"/>
        <v>2763.8029999999999</v>
      </c>
      <c r="L147" s="160">
        <f t="shared" si="90"/>
        <v>2881.2135300365248</v>
      </c>
      <c r="M147" s="160">
        <f t="shared" si="90"/>
        <v>2934.093530036525</v>
      </c>
      <c r="N147" s="161">
        <f t="shared" si="90"/>
        <v>2885.2335300365248</v>
      </c>
      <c r="O147" s="13"/>
    </row>
    <row r="148" spans="1:15" ht="15" customHeight="1" x14ac:dyDescent="0.2">
      <c r="A148" s="25"/>
      <c r="B148" s="89" t="s">
        <v>101</v>
      </c>
      <c r="C148" s="101">
        <v>2190.75</v>
      </c>
      <c r="D148" s="101">
        <v>2387.83</v>
      </c>
      <c r="E148" s="102">
        <v>2396.5</v>
      </c>
      <c r="F148" s="102">
        <v>2360.83</v>
      </c>
      <c r="G148" s="157">
        <v>2338.6</v>
      </c>
      <c r="H148" s="101">
        <v>2349.63</v>
      </c>
      <c r="I148" s="101">
        <v>2605.3000000000002</v>
      </c>
      <c r="J148" s="101">
        <v>2631.86</v>
      </c>
      <c r="K148" s="101">
        <v>2580.61</v>
      </c>
      <c r="L148" s="101">
        <v>2625.93</v>
      </c>
      <c r="M148" s="101">
        <v>2678.81</v>
      </c>
      <c r="N148" s="158">
        <v>2629.95</v>
      </c>
      <c r="O148" s="13"/>
    </row>
    <row r="149" spans="1:15" ht="15" customHeight="1" x14ac:dyDescent="0.2">
      <c r="A149" s="40"/>
      <c r="B149" s="90" t="s">
        <v>9</v>
      </c>
      <c r="C149" s="114">
        <v>177.82999999999998</v>
      </c>
      <c r="D149" s="114">
        <v>177.82999999999998</v>
      </c>
      <c r="E149" s="115">
        <v>177.82999999999998</v>
      </c>
      <c r="F149" s="115">
        <v>177.82999999999998</v>
      </c>
      <c r="G149" s="121">
        <v>177.82999999999998</v>
      </c>
      <c r="H149" s="115">
        <v>177.82999999999998</v>
      </c>
      <c r="I149" s="115">
        <v>177.82999999999998</v>
      </c>
      <c r="J149" s="115">
        <v>177.82999999999998</v>
      </c>
      <c r="K149" s="115">
        <v>177.82999999999998</v>
      </c>
      <c r="L149" s="115">
        <v>249.16</v>
      </c>
      <c r="M149" s="115">
        <v>249.16</v>
      </c>
      <c r="N149" s="122">
        <v>249.16</v>
      </c>
      <c r="O149" s="13"/>
    </row>
    <row r="150" spans="1:15" s="13" customFormat="1" ht="15" customHeight="1" x14ac:dyDescent="0.2">
      <c r="A150" s="81"/>
      <c r="B150" s="91" t="s">
        <v>42</v>
      </c>
      <c r="C150" s="106">
        <v>5.3629999999999995</v>
      </c>
      <c r="D150" s="106">
        <v>5.3629999999999995</v>
      </c>
      <c r="E150" s="107">
        <v>5.3629999999999995</v>
      </c>
      <c r="F150" s="107">
        <v>5.3629999999999995</v>
      </c>
      <c r="G150" s="108">
        <v>5.3629999999999995</v>
      </c>
      <c r="H150" s="106">
        <v>5.3629999999999995</v>
      </c>
      <c r="I150" s="106">
        <v>5.3629999999999995</v>
      </c>
      <c r="J150" s="106">
        <v>5.3629999999999995</v>
      </c>
      <c r="K150" s="106">
        <v>5.3629999999999995</v>
      </c>
      <c r="L150" s="106">
        <v>6.1235300365250511</v>
      </c>
      <c r="M150" s="106">
        <v>6.1235300365250511</v>
      </c>
      <c r="N150" s="109">
        <v>6.1235300365250511</v>
      </c>
    </row>
    <row r="151" spans="1:15" s="13" customFormat="1" ht="25.5" x14ac:dyDescent="0.2">
      <c r="A151" s="25"/>
      <c r="B151" s="87" t="s">
        <v>118</v>
      </c>
      <c r="C151" s="118">
        <f>SUM(C152:C153)</f>
        <v>1063691.4400000002</v>
      </c>
      <c r="D151" s="118">
        <f t="shared" ref="D151:N151" si="91">SUM(D152:D153)</f>
        <v>1007002.78</v>
      </c>
      <c r="E151" s="126">
        <f t="shared" si="91"/>
        <v>1062450.8899999999</v>
      </c>
      <c r="F151" s="126">
        <f t="shared" si="91"/>
        <v>1056190.19</v>
      </c>
      <c r="G151" s="118">
        <f t="shared" si="91"/>
        <v>1227142.22</v>
      </c>
      <c r="H151" s="118">
        <f t="shared" si="91"/>
        <v>1197387.5999999999</v>
      </c>
      <c r="I151" s="118">
        <f t="shared" si="91"/>
        <v>1200392.96</v>
      </c>
      <c r="J151" s="118">
        <f t="shared" si="91"/>
        <v>1192228.79</v>
      </c>
      <c r="K151" s="118">
        <f t="shared" si="91"/>
        <v>1192669.18</v>
      </c>
      <c r="L151" s="118">
        <f t="shared" si="91"/>
        <v>1225813.8399999999</v>
      </c>
      <c r="M151" s="118">
        <f t="shared" si="91"/>
        <v>1234126.6700000002</v>
      </c>
      <c r="N151" s="127">
        <f t="shared" si="91"/>
        <v>1233361.28</v>
      </c>
    </row>
    <row r="152" spans="1:15" s="13" customFormat="1" ht="25.5" x14ac:dyDescent="0.2">
      <c r="A152" s="29"/>
      <c r="B152" s="91" t="s">
        <v>116</v>
      </c>
      <c r="C152" s="101">
        <v>850.58</v>
      </c>
      <c r="D152" s="101">
        <v>1150.1400000000001</v>
      </c>
      <c r="E152" s="102">
        <v>1178.98</v>
      </c>
      <c r="F152" s="102">
        <v>1377.28</v>
      </c>
      <c r="G152" s="157">
        <v>1386.94</v>
      </c>
      <c r="H152" s="101">
        <v>1354.18</v>
      </c>
      <c r="I152" s="101">
        <v>1251.6600000000001</v>
      </c>
      <c r="J152" s="101">
        <v>1551.11</v>
      </c>
      <c r="K152" s="101">
        <v>1608.71</v>
      </c>
      <c r="L152" s="101">
        <v>1250.6400000000001</v>
      </c>
      <c r="M152" s="101">
        <v>1067.3599999999999</v>
      </c>
      <c r="N152" s="158">
        <v>1060.92</v>
      </c>
    </row>
    <row r="153" spans="1:15" s="13" customFormat="1" ht="25.5" x14ac:dyDescent="0.2">
      <c r="A153" s="25"/>
      <c r="B153" s="90" t="s">
        <v>117</v>
      </c>
      <c r="C153" s="146">
        <v>1062840.8600000001</v>
      </c>
      <c r="D153" s="146">
        <v>1005852.64</v>
      </c>
      <c r="E153" s="99">
        <v>1061271.9099999999</v>
      </c>
      <c r="F153" s="99">
        <v>1054812.9099999999</v>
      </c>
      <c r="G153" s="147">
        <v>1225755.28</v>
      </c>
      <c r="H153" s="146">
        <v>1196033.42</v>
      </c>
      <c r="I153" s="146">
        <v>1199141.3</v>
      </c>
      <c r="J153" s="146">
        <v>1190677.68</v>
      </c>
      <c r="K153" s="146">
        <v>1191060.47</v>
      </c>
      <c r="L153" s="146">
        <v>1224563.2</v>
      </c>
      <c r="M153" s="146">
        <v>1233059.31</v>
      </c>
      <c r="N153" s="148">
        <v>1232300.3600000001</v>
      </c>
    </row>
    <row r="154" spans="1:15" ht="30" customHeight="1" thickBot="1" x14ac:dyDescent="0.25">
      <c r="A154" s="32"/>
      <c r="B154" s="93" t="s">
        <v>65</v>
      </c>
      <c r="C154" s="129">
        <v>1661213.17</v>
      </c>
      <c r="D154" s="129">
        <v>1661213.17</v>
      </c>
      <c r="E154" s="130">
        <v>1661213.17</v>
      </c>
      <c r="F154" s="130">
        <v>1661213.17</v>
      </c>
      <c r="G154" s="133">
        <v>1661213.17</v>
      </c>
      <c r="H154" s="129">
        <v>1661213.17</v>
      </c>
      <c r="I154" s="129">
        <v>1661213.17</v>
      </c>
      <c r="J154" s="129">
        <v>1661213.17</v>
      </c>
      <c r="K154" s="129">
        <v>1661213.17</v>
      </c>
      <c r="L154" s="129">
        <v>1913717.57</v>
      </c>
      <c r="M154" s="129">
        <v>1913717.57</v>
      </c>
      <c r="N154" s="134">
        <v>1913717.57</v>
      </c>
      <c r="O154" s="13"/>
    </row>
    <row r="155" spans="1:15" ht="15" customHeight="1" x14ac:dyDescent="0.2"/>
    <row r="157" spans="1:15" ht="87.75" customHeight="1" x14ac:dyDescent="0.2">
      <c r="A157" s="200" t="s">
        <v>114</v>
      </c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69"/>
    </row>
    <row r="158" spans="1:15" ht="30" customHeight="1" x14ac:dyDescent="0.2">
      <c r="A158" s="199" t="s">
        <v>115</v>
      </c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</row>
  </sheetData>
  <mergeCells count="11">
    <mergeCell ref="A157:N157"/>
    <mergeCell ref="A158:N158"/>
    <mergeCell ref="D127:N127"/>
    <mergeCell ref="A2:N2"/>
    <mergeCell ref="A3:N3"/>
    <mergeCell ref="A4:N4"/>
    <mergeCell ref="A5:N5"/>
    <mergeCell ref="A7:N7"/>
    <mergeCell ref="D95:N95"/>
    <mergeCell ref="D63:N63"/>
    <mergeCell ref="D11:N11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0">
    <tabColor rgb="FF00FF99"/>
  </sheetPr>
  <dimension ref="A1:O9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93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5" s="58" customFormat="1" ht="34.5" customHeight="1" x14ac:dyDescent="0.25">
      <c r="A7" s="206" t="s">
        <v>60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79"/>
      <c r="C8" s="79"/>
      <c r="D8" s="79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94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73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4.25" customHeight="1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4.25" customHeight="1" x14ac:dyDescent="0.2">
      <c r="A13" s="80"/>
      <c r="B13" s="86" t="s">
        <v>61</v>
      </c>
      <c r="C13" s="155">
        <f>SUM(C14:C17)</f>
        <v>3554.6529999999998</v>
      </c>
      <c r="D13" s="155">
        <f t="shared" ref="D13:N13" si="0">SUM(D14:D17)</f>
        <v>3751.7329999999997</v>
      </c>
      <c r="E13" s="156">
        <f t="shared" si="0"/>
        <v>3760.4029999999998</v>
      </c>
      <c r="F13" s="156">
        <f t="shared" si="0"/>
        <v>3724.7329999999997</v>
      </c>
      <c r="G13" s="156">
        <f t="shared" si="0"/>
        <v>3702.5030000000002</v>
      </c>
      <c r="H13" s="156">
        <f t="shared" si="0"/>
        <v>3713.5329999999999</v>
      </c>
      <c r="I13" s="156">
        <f t="shared" si="0"/>
        <v>3969.203</v>
      </c>
      <c r="J13" s="156">
        <f t="shared" si="0"/>
        <v>3995.7630000000004</v>
      </c>
      <c r="K13" s="156">
        <f t="shared" si="0"/>
        <v>3944.5130000000004</v>
      </c>
      <c r="L13" s="156">
        <f t="shared" si="0"/>
        <v>4235.8735300365252</v>
      </c>
      <c r="M13" s="156">
        <f t="shared" si="0"/>
        <v>4288.7535300365253</v>
      </c>
      <c r="N13" s="156">
        <f t="shared" si="0"/>
        <v>4239.8935300365247</v>
      </c>
      <c r="O13" s="61"/>
    </row>
    <row r="14" spans="1:15" s="13" customFormat="1" ht="15" customHeight="1" x14ac:dyDescent="0.2">
      <c r="A14" s="29"/>
      <c r="B14" s="89" t="s">
        <v>101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8</v>
      </c>
      <c r="C15" s="146">
        <v>1283.6600000000001</v>
      </c>
      <c r="D15" s="146">
        <v>1283.6600000000001</v>
      </c>
      <c r="E15" s="99">
        <v>1283.6600000000001</v>
      </c>
      <c r="F15" s="99">
        <v>1283.6600000000001</v>
      </c>
      <c r="G15" s="147">
        <v>1283.6600000000001</v>
      </c>
      <c r="H15" s="146">
        <v>1283.6600000000001</v>
      </c>
      <c r="I15" s="146">
        <v>1283.6600000000001</v>
      </c>
      <c r="J15" s="146">
        <v>1283.6600000000001</v>
      </c>
      <c r="K15" s="146">
        <v>1283.6600000000001</v>
      </c>
      <c r="L15" s="146">
        <v>1478.78</v>
      </c>
      <c r="M15" s="146">
        <v>1478.78</v>
      </c>
      <c r="N15" s="148">
        <v>1478.78</v>
      </c>
      <c r="O15" s="61"/>
    </row>
    <row r="16" spans="1:15" s="13" customFormat="1" ht="15" customHeight="1" x14ac:dyDescent="0.2">
      <c r="A16" s="29"/>
      <c r="B16" s="89" t="s">
        <v>9</v>
      </c>
      <c r="C16" s="114">
        <v>74.88</v>
      </c>
      <c r="D16" s="114">
        <v>74.88</v>
      </c>
      <c r="E16" s="115">
        <v>74.88</v>
      </c>
      <c r="F16" s="115">
        <v>74.88</v>
      </c>
      <c r="G16" s="116">
        <v>74.88</v>
      </c>
      <c r="H16" s="114">
        <v>74.88</v>
      </c>
      <c r="I16" s="114">
        <v>74.88</v>
      </c>
      <c r="J16" s="114">
        <v>74.88</v>
      </c>
      <c r="K16" s="114">
        <v>74.88</v>
      </c>
      <c r="L16" s="114">
        <v>125.04</v>
      </c>
      <c r="M16" s="114">
        <v>125.04</v>
      </c>
      <c r="N16" s="117">
        <v>125.04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178"/>
      <c r="B18" s="87" t="s">
        <v>118</v>
      </c>
      <c r="C18" s="118">
        <f>SUM(C19:C20)</f>
        <v>1063691.4400000002</v>
      </c>
      <c r="D18" s="118">
        <f t="shared" ref="D18:N18" si="1">SUM(D19:D20)</f>
        <v>1007002.78</v>
      </c>
      <c r="E18" s="126">
        <f t="shared" si="1"/>
        <v>1062450.8899999999</v>
      </c>
      <c r="F18" s="126">
        <f t="shared" si="1"/>
        <v>1056190.19</v>
      </c>
      <c r="G18" s="118">
        <f t="shared" si="1"/>
        <v>1227142.22</v>
      </c>
      <c r="H18" s="118">
        <f t="shared" si="1"/>
        <v>1197387.5999999999</v>
      </c>
      <c r="I18" s="118">
        <f t="shared" si="1"/>
        <v>1200392.96</v>
      </c>
      <c r="J18" s="118">
        <f t="shared" si="1"/>
        <v>1192228.79</v>
      </c>
      <c r="K18" s="118">
        <f t="shared" si="1"/>
        <v>1192669.18</v>
      </c>
      <c r="L18" s="118">
        <f t="shared" si="1"/>
        <v>1225813.8399999999</v>
      </c>
      <c r="M18" s="118">
        <f t="shared" si="1"/>
        <v>1234126.6700000002</v>
      </c>
      <c r="N18" s="127">
        <f t="shared" si="1"/>
        <v>1233361.28</v>
      </c>
      <c r="O18" s="61"/>
    </row>
    <row r="19" spans="1:15" s="13" customFormat="1" ht="25.5" x14ac:dyDescent="0.2">
      <c r="A19" s="178"/>
      <c r="B19" s="91" t="s">
        <v>116</v>
      </c>
      <c r="C19" s="101">
        <v>850.58</v>
      </c>
      <c r="D19" s="101">
        <v>1150.1400000000001</v>
      </c>
      <c r="E19" s="102">
        <v>1178.98</v>
      </c>
      <c r="F19" s="102">
        <v>1377.28</v>
      </c>
      <c r="G19" s="157">
        <v>1386.94</v>
      </c>
      <c r="H19" s="101">
        <v>1354.18</v>
      </c>
      <c r="I19" s="101">
        <v>1251.6600000000001</v>
      </c>
      <c r="J19" s="101">
        <v>1551.11</v>
      </c>
      <c r="K19" s="101">
        <v>1608.71</v>
      </c>
      <c r="L19" s="101">
        <v>1250.6400000000001</v>
      </c>
      <c r="M19" s="101">
        <v>1067.3599999999999</v>
      </c>
      <c r="N19" s="158">
        <v>1060.92</v>
      </c>
      <c r="O19" s="61"/>
    </row>
    <row r="20" spans="1:15" s="13" customFormat="1" ht="26.25" thickBot="1" x14ac:dyDescent="0.25">
      <c r="A20" s="82"/>
      <c r="B20" s="186" t="s">
        <v>117</v>
      </c>
      <c r="C20" s="187">
        <v>1062840.8600000001</v>
      </c>
      <c r="D20" s="187">
        <v>1005852.64</v>
      </c>
      <c r="E20" s="100">
        <v>1061271.9099999999</v>
      </c>
      <c r="F20" s="100">
        <v>1054812.9099999999</v>
      </c>
      <c r="G20" s="192">
        <v>1225755.28</v>
      </c>
      <c r="H20" s="187">
        <v>1196033.42</v>
      </c>
      <c r="I20" s="187">
        <v>1199141.3</v>
      </c>
      <c r="J20" s="187">
        <v>1190677.68</v>
      </c>
      <c r="K20" s="187">
        <v>1191060.47</v>
      </c>
      <c r="L20" s="187">
        <v>1224563.2</v>
      </c>
      <c r="M20" s="187">
        <v>1233059.31</v>
      </c>
      <c r="N20" s="188">
        <v>1232300.3600000001</v>
      </c>
      <c r="O20" s="61"/>
    </row>
    <row r="21" spans="1:15" s="13" customFormat="1" ht="26.25" thickBot="1" x14ac:dyDescent="0.25">
      <c r="A21" s="36" t="s">
        <v>10</v>
      </c>
      <c r="B21" s="37" t="s">
        <v>11</v>
      </c>
      <c r="C21" s="20"/>
      <c r="D21" s="20"/>
      <c r="E21" s="21"/>
      <c r="F21" s="21"/>
      <c r="G21" s="66"/>
      <c r="H21" s="20"/>
      <c r="I21" s="20"/>
      <c r="J21" s="20"/>
      <c r="K21" s="20"/>
      <c r="L21" s="20"/>
      <c r="M21" s="20"/>
      <c r="N21" s="55"/>
      <c r="O21" s="61"/>
    </row>
    <row r="22" spans="1:15" s="13" customFormat="1" ht="14.25" customHeight="1" x14ac:dyDescent="0.2">
      <c r="A22" s="85"/>
      <c r="B22" s="88" t="s">
        <v>61</v>
      </c>
      <c r="C22" s="159">
        <f>SUM(C23:C25)</f>
        <v>2270.9929999999999</v>
      </c>
      <c r="D22" s="159">
        <f t="shared" ref="D22:N22" si="2">SUM(D23:D25)</f>
        <v>2468.0729999999999</v>
      </c>
      <c r="E22" s="160">
        <f t="shared" si="2"/>
        <v>2476.7429999999999</v>
      </c>
      <c r="F22" s="160">
        <f t="shared" si="2"/>
        <v>2441.0729999999999</v>
      </c>
      <c r="G22" s="160">
        <f t="shared" si="2"/>
        <v>2418.8429999999998</v>
      </c>
      <c r="H22" s="160">
        <f t="shared" si="2"/>
        <v>2429.873</v>
      </c>
      <c r="I22" s="160">
        <f t="shared" si="2"/>
        <v>2685.5430000000001</v>
      </c>
      <c r="J22" s="160">
        <f t="shared" si="2"/>
        <v>2712.1030000000001</v>
      </c>
      <c r="K22" s="160">
        <f t="shared" si="2"/>
        <v>2660.8530000000001</v>
      </c>
      <c r="L22" s="160">
        <f t="shared" si="2"/>
        <v>2757.093530036525</v>
      </c>
      <c r="M22" s="160">
        <f t="shared" si="2"/>
        <v>2809.9735300365251</v>
      </c>
      <c r="N22" s="161">
        <f t="shared" si="2"/>
        <v>2761.1135300365249</v>
      </c>
      <c r="O22" s="61"/>
    </row>
    <row r="23" spans="1:15" s="13" customFormat="1" x14ac:dyDescent="0.2">
      <c r="A23" s="25"/>
      <c r="B23" s="89" t="s">
        <v>101</v>
      </c>
      <c r="C23" s="101">
        <f t="shared" ref="C23:N23" si="3">C14</f>
        <v>2190.75</v>
      </c>
      <c r="D23" s="101">
        <f t="shared" si="3"/>
        <v>2387.83</v>
      </c>
      <c r="E23" s="102">
        <f t="shared" si="3"/>
        <v>2396.5</v>
      </c>
      <c r="F23" s="102">
        <f t="shared" si="3"/>
        <v>2360.83</v>
      </c>
      <c r="G23" s="157">
        <f t="shared" si="3"/>
        <v>2338.6</v>
      </c>
      <c r="H23" s="101">
        <f t="shared" si="3"/>
        <v>2349.63</v>
      </c>
      <c r="I23" s="101">
        <f t="shared" si="3"/>
        <v>2605.3000000000002</v>
      </c>
      <c r="J23" s="101">
        <f t="shared" si="3"/>
        <v>2631.86</v>
      </c>
      <c r="K23" s="101">
        <f t="shared" si="3"/>
        <v>2580.61</v>
      </c>
      <c r="L23" s="101">
        <f t="shared" si="3"/>
        <v>2625.93</v>
      </c>
      <c r="M23" s="101">
        <f t="shared" si="3"/>
        <v>2678.81</v>
      </c>
      <c r="N23" s="158">
        <f t="shared" si="3"/>
        <v>2629.95</v>
      </c>
    </row>
    <row r="24" spans="1:15" s="13" customFormat="1" x14ac:dyDescent="0.2">
      <c r="A24" s="40"/>
      <c r="B24" s="90" t="s">
        <v>9</v>
      </c>
      <c r="C24" s="114">
        <f t="shared" ref="C24:N24" si="4">C16</f>
        <v>74.88</v>
      </c>
      <c r="D24" s="114">
        <f t="shared" si="4"/>
        <v>74.88</v>
      </c>
      <c r="E24" s="115">
        <f t="shared" si="4"/>
        <v>74.88</v>
      </c>
      <c r="F24" s="115">
        <f t="shared" si="4"/>
        <v>74.88</v>
      </c>
      <c r="G24" s="121">
        <f t="shared" si="4"/>
        <v>74.88</v>
      </c>
      <c r="H24" s="115">
        <f t="shared" si="4"/>
        <v>74.88</v>
      </c>
      <c r="I24" s="115">
        <f t="shared" si="4"/>
        <v>74.88</v>
      </c>
      <c r="J24" s="115">
        <f t="shared" si="4"/>
        <v>74.88</v>
      </c>
      <c r="K24" s="115">
        <f t="shared" si="4"/>
        <v>74.88</v>
      </c>
      <c r="L24" s="115">
        <f t="shared" si="4"/>
        <v>125.04</v>
      </c>
      <c r="M24" s="115">
        <f t="shared" si="4"/>
        <v>125.04</v>
      </c>
      <c r="N24" s="122">
        <f t="shared" si="4"/>
        <v>125.04</v>
      </c>
    </row>
    <row r="25" spans="1:15" s="13" customFormat="1" x14ac:dyDescent="0.2">
      <c r="A25" s="81"/>
      <c r="B25" s="91" t="s">
        <v>42</v>
      </c>
      <c r="C25" s="106">
        <f t="shared" ref="C25:N25" si="5">C17</f>
        <v>5.3629999999999995</v>
      </c>
      <c r="D25" s="106">
        <f t="shared" si="5"/>
        <v>5.3629999999999995</v>
      </c>
      <c r="E25" s="107">
        <f t="shared" si="5"/>
        <v>5.3629999999999995</v>
      </c>
      <c r="F25" s="107">
        <f t="shared" si="5"/>
        <v>5.3629999999999995</v>
      </c>
      <c r="G25" s="108">
        <f t="shared" si="5"/>
        <v>5.3629999999999995</v>
      </c>
      <c r="H25" s="106">
        <f t="shared" si="5"/>
        <v>5.3629999999999995</v>
      </c>
      <c r="I25" s="106">
        <f t="shared" si="5"/>
        <v>5.3629999999999995</v>
      </c>
      <c r="J25" s="106">
        <f t="shared" si="5"/>
        <v>5.3629999999999995</v>
      </c>
      <c r="K25" s="106">
        <f t="shared" si="5"/>
        <v>5.3629999999999995</v>
      </c>
      <c r="L25" s="106">
        <f t="shared" si="5"/>
        <v>6.1235300365250511</v>
      </c>
      <c r="M25" s="106">
        <f t="shared" si="5"/>
        <v>6.1235300365250511</v>
      </c>
      <c r="N25" s="109">
        <f t="shared" si="5"/>
        <v>6.1235300365250511</v>
      </c>
    </row>
    <row r="26" spans="1:15" s="13" customFormat="1" ht="25.5" x14ac:dyDescent="0.2">
      <c r="A26" s="81"/>
      <c r="B26" s="87" t="s">
        <v>118</v>
      </c>
      <c r="C26" s="118">
        <f>SUM(C27:C28)</f>
        <v>1063691.4400000002</v>
      </c>
      <c r="D26" s="118">
        <f t="shared" ref="D26:N26" si="6">SUM(D27:D28)</f>
        <v>1007002.78</v>
      </c>
      <c r="E26" s="126">
        <f t="shared" si="6"/>
        <v>1062450.8899999999</v>
      </c>
      <c r="F26" s="126">
        <f t="shared" si="6"/>
        <v>1056190.19</v>
      </c>
      <c r="G26" s="118">
        <f t="shared" si="6"/>
        <v>1227142.22</v>
      </c>
      <c r="H26" s="118">
        <f t="shared" si="6"/>
        <v>1197387.5999999999</v>
      </c>
      <c r="I26" s="118">
        <f t="shared" si="6"/>
        <v>1200392.96</v>
      </c>
      <c r="J26" s="118">
        <f t="shared" si="6"/>
        <v>1192228.79</v>
      </c>
      <c r="K26" s="118">
        <f t="shared" si="6"/>
        <v>1192669.18</v>
      </c>
      <c r="L26" s="118">
        <f t="shared" si="6"/>
        <v>1225813.8399999999</v>
      </c>
      <c r="M26" s="118">
        <f t="shared" si="6"/>
        <v>1234126.6700000002</v>
      </c>
      <c r="N26" s="127">
        <f t="shared" si="6"/>
        <v>1233361.28</v>
      </c>
    </row>
    <row r="27" spans="1:15" s="13" customFormat="1" ht="25.5" x14ac:dyDescent="0.2">
      <c r="A27" s="81"/>
      <c r="B27" s="91" t="s">
        <v>116</v>
      </c>
      <c r="C27" s="101">
        <v>850.58</v>
      </c>
      <c r="D27" s="101">
        <v>1150.1400000000001</v>
      </c>
      <c r="E27" s="102">
        <v>1178.98</v>
      </c>
      <c r="F27" s="102">
        <v>1377.28</v>
      </c>
      <c r="G27" s="157">
        <v>1386.94</v>
      </c>
      <c r="H27" s="101">
        <v>1354.18</v>
      </c>
      <c r="I27" s="101">
        <v>1251.6600000000001</v>
      </c>
      <c r="J27" s="101">
        <v>1551.11</v>
      </c>
      <c r="K27" s="101">
        <v>1608.71</v>
      </c>
      <c r="L27" s="101">
        <v>1250.6400000000001</v>
      </c>
      <c r="M27" s="101">
        <v>1067.3599999999999</v>
      </c>
      <c r="N27" s="158">
        <v>1060.92</v>
      </c>
    </row>
    <row r="28" spans="1:15" s="13" customFormat="1" ht="26.25" thickBot="1" x14ac:dyDescent="0.25">
      <c r="A28" s="32"/>
      <c r="B28" s="186" t="s">
        <v>117</v>
      </c>
      <c r="C28" s="187">
        <v>1062840.8600000001</v>
      </c>
      <c r="D28" s="187">
        <v>1005852.64</v>
      </c>
      <c r="E28" s="100">
        <v>1061271.9099999999</v>
      </c>
      <c r="F28" s="100">
        <v>1054812.9099999999</v>
      </c>
      <c r="G28" s="192">
        <v>1225755.28</v>
      </c>
      <c r="H28" s="187">
        <v>1196033.42</v>
      </c>
      <c r="I28" s="187">
        <v>1199141.3</v>
      </c>
      <c r="J28" s="187">
        <v>1190677.68</v>
      </c>
      <c r="K28" s="187">
        <v>1191060.47</v>
      </c>
      <c r="L28" s="187">
        <v>1224563.2</v>
      </c>
      <c r="M28" s="187">
        <v>1233059.31</v>
      </c>
      <c r="N28" s="188">
        <v>1232300.3600000001</v>
      </c>
    </row>
    <row r="29" spans="1:15" ht="15" customHeight="1" x14ac:dyDescent="0.2"/>
    <row r="30" spans="1:15" ht="15" customHeight="1" x14ac:dyDescent="0.2"/>
    <row r="31" spans="1:15" s="59" customFormat="1" ht="21" customHeight="1" thickBot="1" x14ac:dyDescent="0.25">
      <c r="A31" s="7" t="s">
        <v>95</v>
      </c>
      <c r="B31" s="7"/>
      <c r="C31" s="7"/>
      <c r="D31" s="7"/>
      <c r="E31" s="7"/>
      <c r="F31" s="7"/>
      <c r="G31" s="5"/>
      <c r="H31" s="5"/>
      <c r="I31" s="5"/>
      <c r="J31" s="5"/>
      <c r="K31" s="5"/>
      <c r="L31" s="6"/>
      <c r="M31" s="6"/>
      <c r="N31" s="6"/>
    </row>
    <row r="32" spans="1:15" s="13" customFormat="1" ht="24" customHeight="1" thickBot="1" x14ac:dyDescent="0.25">
      <c r="A32" s="49" t="s">
        <v>0</v>
      </c>
      <c r="B32" s="50" t="s">
        <v>1</v>
      </c>
      <c r="C32" s="51" t="s">
        <v>17</v>
      </c>
      <c r="D32" s="51" t="s">
        <v>18</v>
      </c>
      <c r="E32" s="51" t="s">
        <v>19</v>
      </c>
      <c r="F32" s="51" t="s">
        <v>20</v>
      </c>
      <c r="G32" s="51" t="s">
        <v>21</v>
      </c>
      <c r="H32" s="51" t="s">
        <v>22</v>
      </c>
      <c r="I32" s="51" t="s">
        <v>23</v>
      </c>
      <c r="J32" s="51" t="s">
        <v>24</v>
      </c>
      <c r="K32" s="51" t="s">
        <v>25</v>
      </c>
      <c r="L32" s="51" t="s">
        <v>26</v>
      </c>
      <c r="M32" s="51" t="s">
        <v>27</v>
      </c>
      <c r="N32" s="52" t="s">
        <v>28</v>
      </c>
    </row>
    <row r="33" spans="1:15" s="17" customFormat="1" ht="21" customHeight="1" thickBot="1" x14ac:dyDescent="0.25">
      <c r="A33" s="14" t="s">
        <v>14</v>
      </c>
      <c r="B33" s="15" t="s">
        <v>5</v>
      </c>
      <c r="C33" s="73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2"/>
      <c r="O33" s="44"/>
    </row>
    <row r="34" spans="1:15" s="17" customFormat="1" ht="14.25" customHeight="1" thickBot="1" x14ac:dyDescent="0.25">
      <c r="A34" s="18" t="s">
        <v>15</v>
      </c>
      <c r="B34" s="78" t="s">
        <v>7</v>
      </c>
      <c r="C34" s="20"/>
      <c r="D34" s="20"/>
      <c r="E34" s="21"/>
      <c r="F34" s="21"/>
      <c r="G34" s="63"/>
      <c r="H34" s="21"/>
      <c r="I34" s="21"/>
      <c r="J34" s="21"/>
      <c r="K34" s="21"/>
      <c r="L34" s="21"/>
      <c r="M34" s="21"/>
      <c r="N34" s="22"/>
      <c r="O34" s="61"/>
    </row>
    <row r="35" spans="1:15" s="13" customFormat="1" ht="14.25" customHeight="1" x14ac:dyDescent="0.2">
      <c r="A35" s="80"/>
      <c r="B35" s="86" t="s">
        <v>61</v>
      </c>
      <c r="C35" s="155">
        <f>SUM(C36:C39)</f>
        <v>4344.5830000000005</v>
      </c>
      <c r="D35" s="155">
        <f t="shared" ref="D35:N35" si="7">SUM(D36:D39)</f>
        <v>4541.6630000000005</v>
      </c>
      <c r="E35" s="156">
        <f t="shared" si="7"/>
        <v>4550.3330000000005</v>
      </c>
      <c r="F35" s="156">
        <f t="shared" si="7"/>
        <v>4514.6630000000005</v>
      </c>
      <c r="G35" s="156">
        <f t="shared" si="7"/>
        <v>4492.4330000000009</v>
      </c>
      <c r="H35" s="156">
        <f t="shared" si="7"/>
        <v>4503.4630000000006</v>
      </c>
      <c r="I35" s="156">
        <f t="shared" si="7"/>
        <v>4759.1330000000007</v>
      </c>
      <c r="J35" s="156">
        <f t="shared" si="7"/>
        <v>4785.6930000000011</v>
      </c>
      <c r="K35" s="156">
        <f t="shared" si="7"/>
        <v>4734.4430000000011</v>
      </c>
      <c r="L35" s="156">
        <f t="shared" si="7"/>
        <v>5145.8735300365252</v>
      </c>
      <c r="M35" s="156">
        <f t="shared" si="7"/>
        <v>5198.7535300365253</v>
      </c>
      <c r="N35" s="156">
        <f t="shared" si="7"/>
        <v>5149.8935300365247</v>
      </c>
      <c r="O35" s="61"/>
    </row>
    <row r="36" spans="1:15" s="13" customFormat="1" ht="15" customHeight="1" x14ac:dyDescent="0.2">
      <c r="A36" s="29"/>
      <c r="B36" s="89" t="s">
        <v>101</v>
      </c>
      <c r="C36" s="101">
        <v>2190.75</v>
      </c>
      <c r="D36" s="101">
        <v>2387.83</v>
      </c>
      <c r="E36" s="102">
        <v>2396.5</v>
      </c>
      <c r="F36" s="102">
        <v>2360.83</v>
      </c>
      <c r="G36" s="157">
        <v>2338.6</v>
      </c>
      <c r="H36" s="101">
        <v>2349.63</v>
      </c>
      <c r="I36" s="101">
        <v>2605.3000000000002</v>
      </c>
      <c r="J36" s="101">
        <v>2631.86</v>
      </c>
      <c r="K36" s="101">
        <v>2580.61</v>
      </c>
      <c r="L36" s="101">
        <v>2625.93</v>
      </c>
      <c r="M36" s="101">
        <v>2678.81</v>
      </c>
      <c r="N36" s="158">
        <v>2629.95</v>
      </c>
      <c r="O36" s="61"/>
    </row>
    <row r="37" spans="1:15" s="13" customFormat="1" ht="15" customHeight="1" x14ac:dyDescent="0.2">
      <c r="A37" s="25"/>
      <c r="B37" s="90" t="s">
        <v>8</v>
      </c>
      <c r="C37" s="146">
        <v>2073.59</v>
      </c>
      <c r="D37" s="146">
        <v>2073.59</v>
      </c>
      <c r="E37" s="99">
        <v>2073.59</v>
      </c>
      <c r="F37" s="99">
        <v>2073.59</v>
      </c>
      <c r="G37" s="147">
        <v>2073.59</v>
      </c>
      <c r="H37" s="146">
        <v>2073.59</v>
      </c>
      <c r="I37" s="146">
        <v>2073.59</v>
      </c>
      <c r="J37" s="146">
        <v>2073.59</v>
      </c>
      <c r="K37" s="146">
        <v>2073.59</v>
      </c>
      <c r="L37" s="146">
        <v>2388.7800000000002</v>
      </c>
      <c r="M37" s="146">
        <v>2388.7800000000002</v>
      </c>
      <c r="N37" s="148">
        <v>2388.7800000000002</v>
      </c>
      <c r="O37" s="61"/>
    </row>
    <row r="38" spans="1:15" s="13" customFormat="1" ht="15" customHeight="1" x14ac:dyDescent="0.2">
      <c r="A38" s="29"/>
      <c r="B38" s="89" t="s">
        <v>9</v>
      </c>
      <c r="C38" s="114">
        <v>74.88</v>
      </c>
      <c r="D38" s="114">
        <v>74.88</v>
      </c>
      <c r="E38" s="115">
        <v>74.88</v>
      </c>
      <c r="F38" s="115">
        <v>74.88</v>
      </c>
      <c r="G38" s="116">
        <v>74.88</v>
      </c>
      <c r="H38" s="114">
        <v>74.88</v>
      </c>
      <c r="I38" s="114">
        <v>74.88</v>
      </c>
      <c r="J38" s="114">
        <v>74.88</v>
      </c>
      <c r="K38" s="114">
        <v>74.88</v>
      </c>
      <c r="L38" s="114">
        <v>125.04</v>
      </c>
      <c r="M38" s="114">
        <v>125.04</v>
      </c>
      <c r="N38" s="117">
        <v>125.04</v>
      </c>
      <c r="O38" s="61"/>
    </row>
    <row r="39" spans="1:15" s="13" customFormat="1" x14ac:dyDescent="0.2">
      <c r="A39" s="81"/>
      <c r="B39" s="91" t="s">
        <v>42</v>
      </c>
      <c r="C39" s="106">
        <v>5.3629999999999995</v>
      </c>
      <c r="D39" s="106">
        <v>5.3629999999999995</v>
      </c>
      <c r="E39" s="107">
        <v>5.3629999999999995</v>
      </c>
      <c r="F39" s="107">
        <v>5.3629999999999995</v>
      </c>
      <c r="G39" s="108">
        <v>5.3629999999999995</v>
      </c>
      <c r="H39" s="106">
        <v>5.3629999999999995</v>
      </c>
      <c r="I39" s="106">
        <v>5.3629999999999995</v>
      </c>
      <c r="J39" s="106">
        <v>5.3629999999999995</v>
      </c>
      <c r="K39" s="106">
        <v>5.3629999999999995</v>
      </c>
      <c r="L39" s="106">
        <v>6.1235300365250511</v>
      </c>
      <c r="M39" s="106">
        <v>6.1235300365250511</v>
      </c>
      <c r="N39" s="109">
        <v>6.1235300365250511</v>
      </c>
      <c r="O39" s="61"/>
    </row>
    <row r="40" spans="1:15" s="13" customFormat="1" ht="25.5" x14ac:dyDescent="0.2">
      <c r="A40" s="178"/>
      <c r="B40" s="87" t="s">
        <v>118</v>
      </c>
      <c r="C40" s="118">
        <f>SUM(C41:C42)</f>
        <v>1063691.4400000002</v>
      </c>
      <c r="D40" s="118">
        <f t="shared" ref="D40:N40" si="8">SUM(D41:D42)</f>
        <v>1007002.78</v>
      </c>
      <c r="E40" s="126">
        <f t="shared" si="8"/>
        <v>1062450.8899999999</v>
      </c>
      <c r="F40" s="126">
        <f t="shared" si="8"/>
        <v>1056190.19</v>
      </c>
      <c r="G40" s="118">
        <f t="shared" si="8"/>
        <v>1227142.22</v>
      </c>
      <c r="H40" s="118">
        <f t="shared" si="8"/>
        <v>1197387.5999999999</v>
      </c>
      <c r="I40" s="118">
        <f t="shared" si="8"/>
        <v>1200392.96</v>
      </c>
      <c r="J40" s="118">
        <f t="shared" si="8"/>
        <v>1192228.79</v>
      </c>
      <c r="K40" s="118">
        <f t="shared" si="8"/>
        <v>1192669.18</v>
      </c>
      <c r="L40" s="118">
        <f t="shared" si="8"/>
        <v>1225813.8399999999</v>
      </c>
      <c r="M40" s="118">
        <f t="shared" si="8"/>
        <v>1234126.6700000002</v>
      </c>
      <c r="N40" s="127">
        <f t="shared" si="8"/>
        <v>1233361.28</v>
      </c>
      <c r="O40" s="61"/>
    </row>
    <row r="41" spans="1:15" s="13" customFormat="1" ht="25.5" x14ac:dyDescent="0.2">
      <c r="A41" s="178"/>
      <c r="B41" s="91" t="s">
        <v>116</v>
      </c>
      <c r="C41" s="101">
        <v>850.58</v>
      </c>
      <c r="D41" s="101">
        <v>1150.1400000000001</v>
      </c>
      <c r="E41" s="102">
        <v>1178.98</v>
      </c>
      <c r="F41" s="102">
        <v>1377.28</v>
      </c>
      <c r="G41" s="157">
        <v>1386.94</v>
      </c>
      <c r="H41" s="101">
        <v>1354.18</v>
      </c>
      <c r="I41" s="101">
        <v>1251.6600000000001</v>
      </c>
      <c r="J41" s="101">
        <v>1551.11</v>
      </c>
      <c r="K41" s="101">
        <v>1608.71</v>
      </c>
      <c r="L41" s="101">
        <v>1250.6400000000001</v>
      </c>
      <c r="M41" s="101">
        <v>1067.3599999999999</v>
      </c>
      <c r="N41" s="158">
        <v>1060.92</v>
      </c>
      <c r="O41" s="61"/>
    </row>
    <row r="42" spans="1:15" s="13" customFormat="1" ht="26.25" thickBot="1" x14ac:dyDescent="0.25">
      <c r="A42" s="82"/>
      <c r="B42" s="186" t="s">
        <v>117</v>
      </c>
      <c r="C42" s="187">
        <v>1062840.8600000001</v>
      </c>
      <c r="D42" s="187">
        <v>1005852.64</v>
      </c>
      <c r="E42" s="100">
        <v>1061271.9099999999</v>
      </c>
      <c r="F42" s="100">
        <v>1054812.9099999999</v>
      </c>
      <c r="G42" s="192">
        <v>1225755.28</v>
      </c>
      <c r="H42" s="187">
        <v>1196033.42</v>
      </c>
      <c r="I42" s="187">
        <v>1199141.3</v>
      </c>
      <c r="J42" s="187">
        <v>1190677.68</v>
      </c>
      <c r="K42" s="187">
        <v>1191060.47</v>
      </c>
      <c r="L42" s="187">
        <v>1224563.2</v>
      </c>
      <c r="M42" s="187">
        <v>1233059.31</v>
      </c>
      <c r="N42" s="188">
        <v>1232300.3600000001</v>
      </c>
    </row>
    <row r="43" spans="1:15" s="13" customFormat="1" ht="26.25" thickBot="1" x14ac:dyDescent="0.25">
      <c r="A43" s="36" t="s">
        <v>16</v>
      </c>
      <c r="B43" s="37" t="s">
        <v>11</v>
      </c>
      <c r="C43" s="20"/>
      <c r="D43" s="20"/>
      <c r="E43" s="21"/>
      <c r="F43" s="21"/>
      <c r="G43" s="66"/>
      <c r="H43" s="20"/>
      <c r="I43" s="20"/>
      <c r="J43" s="20"/>
      <c r="K43" s="20"/>
      <c r="L43" s="20"/>
      <c r="M43" s="20"/>
      <c r="N43" s="55"/>
    </row>
    <row r="44" spans="1:15" s="13" customFormat="1" ht="14.25" customHeight="1" x14ac:dyDescent="0.2">
      <c r="A44" s="85"/>
      <c r="B44" s="88" t="s">
        <v>61</v>
      </c>
      <c r="C44" s="159">
        <f>SUM(C45:C47)</f>
        <v>2270.9929999999999</v>
      </c>
      <c r="D44" s="159">
        <f t="shared" ref="D44:N44" si="9">SUM(D45:D47)</f>
        <v>2468.0729999999999</v>
      </c>
      <c r="E44" s="160">
        <f t="shared" si="9"/>
        <v>2476.7429999999999</v>
      </c>
      <c r="F44" s="160">
        <f t="shared" si="9"/>
        <v>2441.0729999999999</v>
      </c>
      <c r="G44" s="160">
        <f t="shared" si="9"/>
        <v>2418.8429999999998</v>
      </c>
      <c r="H44" s="160">
        <f t="shared" si="9"/>
        <v>2429.873</v>
      </c>
      <c r="I44" s="160">
        <f t="shared" si="9"/>
        <v>2685.5430000000001</v>
      </c>
      <c r="J44" s="160">
        <f t="shared" si="9"/>
        <v>2712.1030000000001</v>
      </c>
      <c r="K44" s="160">
        <f t="shared" si="9"/>
        <v>2660.8530000000001</v>
      </c>
      <c r="L44" s="160">
        <f t="shared" si="9"/>
        <v>2757.093530036525</v>
      </c>
      <c r="M44" s="160">
        <f t="shared" si="9"/>
        <v>2809.9735300365251</v>
      </c>
      <c r="N44" s="161">
        <f t="shared" si="9"/>
        <v>2761.1135300365249</v>
      </c>
    </row>
    <row r="45" spans="1:15" s="13" customFormat="1" x14ac:dyDescent="0.2">
      <c r="A45" s="25"/>
      <c r="B45" s="89" t="s">
        <v>101</v>
      </c>
      <c r="C45" s="101">
        <f t="shared" ref="C45:N45" si="10">C36</f>
        <v>2190.75</v>
      </c>
      <c r="D45" s="101">
        <f t="shared" si="10"/>
        <v>2387.83</v>
      </c>
      <c r="E45" s="102">
        <f t="shared" si="10"/>
        <v>2396.5</v>
      </c>
      <c r="F45" s="102">
        <f t="shared" si="10"/>
        <v>2360.83</v>
      </c>
      <c r="G45" s="157">
        <f t="shared" si="10"/>
        <v>2338.6</v>
      </c>
      <c r="H45" s="101">
        <f t="shared" si="10"/>
        <v>2349.63</v>
      </c>
      <c r="I45" s="101">
        <f t="shared" si="10"/>
        <v>2605.3000000000002</v>
      </c>
      <c r="J45" s="101">
        <f t="shared" si="10"/>
        <v>2631.86</v>
      </c>
      <c r="K45" s="101">
        <f t="shared" si="10"/>
        <v>2580.61</v>
      </c>
      <c r="L45" s="101">
        <f t="shared" si="10"/>
        <v>2625.93</v>
      </c>
      <c r="M45" s="101">
        <f t="shared" si="10"/>
        <v>2678.81</v>
      </c>
      <c r="N45" s="158">
        <f t="shared" si="10"/>
        <v>2629.95</v>
      </c>
    </row>
    <row r="46" spans="1:15" s="13" customFormat="1" x14ac:dyDescent="0.2">
      <c r="A46" s="40"/>
      <c r="B46" s="90" t="s">
        <v>9</v>
      </c>
      <c r="C46" s="27">
        <v>74.88</v>
      </c>
      <c r="D46" s="27">
        <f t="shared" ref="D46:N46" si="11">D38</f>
        <v>74.88</v>
      </c>
      <c r="E46" s="28">
        <f t="shared" si="11"/>
        <v>74.88</v>
      </c>
      <c r="F46" s="28">
        <f t="shared" si="11"/>
        <v>74.88</v>
      </c>
      <c r="G46" s="67">
        <f t="shared" si="11"/>
        <v>74.88</v>
      </c>
      <c r="H46" s="28">
        <f t="shared" si="11"/>
        <v>74.88</v>
      </c>
      <c r="I46" s="28">
        <f t="shared" si="11"/>
        <v>74.88</v>
      </c>
      <c r="J46" s="28">
        <f t="shared" si="11"/>
        <v>74.88</v>
      </c>
      <c r="K46" s="28">
        <f t="shared" si="11"/>
        <v>74.88</v>
      </c>
      <c r="L46" s="28">
        <f t="shared" si="11"/>
        <v>125.04</v>
      </c>
      <c r="M46" s="28">
        <f t="shared" si="11"/>
        <v>125.04</v>
      </c>
      <c r="N46" s="31">
        <f t="shared" si="11"/>
        <v>125.04</v>
      </c>
    </row>
    <row r="47" spans="1:15" s="13" customFormat="1" x14ac:dyDescent="0.2">
      <c r="A47" s="81"/>
      <c r="B47" s="91" t="s">
        <v>42</v>
      </c>
      <c r="C47" s="34">
        <f>C39</f>
        <v>5.3629999999999995</v>
      </c>
      <c r="D47" s="34">
        <f t="shared" ref="D47:N47" si="12">D39</f>
        <v>5.3629999999999995</v>
      </c>
      <c r="E47" s="35">
        <f t="shared" si="12"/>
        <v>5.3629999999999995</v>
      </c>
      <c r="F47" s="35">
        <f t="shared" si="12"/>
        <v>5.3629999999999995</v>
      </c>
      <c r="G47" s="65">
        <f t="shared" si="12"/>
        <v>5.3629999999999995</v>
      </c>
      <c r="H47" s="34">
        <f t="shared" si="12"/>
        <v>5.3629999999999995</v>
      </c>
      <c r="I47" s="34">
        <f t="shared" si="12"/>
        <v>5.3629999999999995</v>
      </c>
      <c r="J47" s="34">
        <f t="shared" si="12"/>
        <v>5.3629999999999995</v>
      </c>
      <c r="K47" s="34">
        <f t="shared" si="12"/>
        <v>5.3629999999999995</v>
      </c>
      <c r="L47" s="34">
        <f t="shared" si="12"/>
        <v>6.1235300365250511</v>
      </c>
      <c r="M47" s="34">
        <f t="shared" si="12"/>
        <v>6.1235300365250511</v>
      </c>
      <c r="N47" s="54">
        <f t="shared" si="12"/>
        <v>6.1235300365250511</v>
      </c>
    </row>
    <row r="48" spans="1:15" s="13" customFormat="1" ht="25.5" x14ac:dyDescent="0.2">
      <c r="A48" s="81"/>
      <c r="B48" s="87" t="s">
        <v>118</v>
      </c>
      <c r="C48" s="118">
        <f>SUM(C49:C50)</f>
        <v>1063691.4400000002</v>
      </c>
      <c r="D48" s="118">
        <f t="shared" ref="D48:N48" si="13">SUM(D49:D50)</f>
        <v>1007002.78</v>
      </c>
      <c r="E48" s="126">
        <f t="shared" si="13"/>
        <v>1062450.8899999999</v>
      </c>
      <c r="F48" s="126">
        <f t="shared" si="13"/>
        <v>1056190.19</v>
      </c>
      <c r="G48" s="118">
        <f t="shared" si="13"/>
        <v>1227142.22</v>
      </c>
      <c r="H48" s="118">
        <f t="shared" si="13"/>
        <v>1197387.5999999999</v>
      </c>
      <c r="I48" s="118">
        <f t="shared" si="13"/>
        <v>1200392.96</v>
      </c>
      <c r="J48" s="118">
        <f t="shared" si="13"/>
        <v>1192228.79</v>
      </c>
      <c r="K48" s="118">
        <f t="shared" si="13"/>
        <v>1192669.18</v>
      </c>
      <c r="L48" s="118">
        <f t="shared" si="13"/>
        <v>1225813.8399999999</v>
      </c>
      <c r="M48" s="118">
        <f t="shared" si="13"/>
        <v>1234126.6700000002</v>
      </c>
      <c r="N48" s="127">
        <f t="shared" si="13"/>
        <v>1233361.28</v>
      </c>
    </row>
    <row r="49" spans="1:15" s="13" customFormat="1" ht="25.5" x14ac:dyDescent="0.2">
      <c r="A49" s="81"/>
      <c r="B49" s="91" t="s">
        <v>116</v>
      </c>
      <c r="C49" s="101">
        <v>850.58</v>
      </c>
      <c r="D49" s="101">
        <v>1150.1400000000001</v>
      </c>
      <c r="E49" s="102">
        <v>1178.98</v>
      </c>
      <c r="F49" s="102">
        <v>1377.28</v>
      </c>
      <c r="G49" s="157">
        <v>1386.94</v>
      </c>
      <c r="H49" s="101">
        <v>1354.18</v>
      </c>
      <c r="I49" s="101">
        <v>1251.6600000000001</v>
      </c>
      <c r="J49" s="101">
        <v>1551.11</v>
      </c>
      <c r="K49" s="101">
        <v>1608.71</v>
      </c>
      <c r="L49" s="101">
        <v>1250.6400000000001</v>
      </c>
      <c r="M49" s="101">
        <v>1067.3599999999999</v>
      </c>
      <c r="N49" s="158">
        <v>1060.92</v>
      </c>
    </row>
    <row r="50" spans="1:15" s="13" customFormat="1" ht="26.25" thickBot="1" x14ac:dyDescent="0.25">
      <c r="A50" s="32"/>
      <c r="B50" s="186" t="s">
        <v>117</v>
      </c>
      <c r="C50" s="187">
        <v>1062840.8600000001</v>
      </c>
      <c r="D50" s="187">
        <v>1005852.64</v>
      </c>
      <c r="E50" s="100">
        <v>1061271.9099999999</v>
      </c>
      <c r="F50" s="100">
        <v>1054812.9099999999</v>
      </c>
      <c r="G50" s="192">
        <v>1225755.28</v>
      </c>
      <c r="H50" s="187">
        <v>1196033.42</v>
      </c>
      <c r="I50" s="187">
        <v>1199141.3</v>
      </c>
      <c r="J50" s="187">
        <v>1190677.68</v>
      </c>
      <c r="K50" s="187">
        <v>1191060.47</v>
      </c>
      <c r="L50" s="187">
        <v>1224563.2</v>
      </c>
      <c r="M50" s="187">
        <v>1233059.31</v>
      </c>
      <c r="N50" s="188">
        <v>1232300.3600000001</v>
      </c>
    </row>
    <row r="51" spans="1:15" ht="15" customHeight="1" x14ac:dyDescent="0.2"/>
    <row r="52" spans="1:15" ht="15" customHeight="1" x14ac:dyDescent="0.2"/>
    <row r="53" spans="1:15" s="59" customFormat="1" ht="21" customHeight="1" thickBot="1" x14ac:dyDescent="0.25">
      <c r="A53" s="7" t="s">
        <v>96</v>
      </c>
      <c r="B53" s="7"/>
      <c r="C53" s="7"/>
      <c r="D53" s="7"/>
      <c r="E53" s="7"/>
      <c r="F53" s="7"/>
      <c r="G53" s="5"/>
      <c r="H53" s="5"/>
      <c r="I53" s="5"/>
      <c r="J53" s="5"/>
      <c r="K53" s="5"/>
      <c r="L53" s="6"/>
      <c r="M53" s="6"/>
      <c r="N53" s="6"/>
    </row>
    <row r="54" spans="1:15" s="13" customFormat="1" ht="24" customHeight="1" thickBot="1" x14ac:dyDescent="0.25">
      <c r="A54" s="49" t="s">
        <v>0</v>
      </c>
      <c r="B54" s="50" t="s">
        <v>1</v>
      </c>
      <c r="C54" s="51" t="s">
        <v>17</v>
      </c>
      <c r="D54" s="51" t="s">
        <v>18</v>
      </c>
      <c r="E54" s="51" t="s">
        <v>19</v>
      </c>
      <c r="F54" s="51" t="s">
        <v>20</v>
      </c>
      <c r="G54" s="51" t="s">
        <v>21</v>
      </c>
      <c r="H54" s="51" t="s">
        <v>22</v>
      </c>
      <c r="I54" s="51" t="s">
        <v>23</v>
      </c>
      <c r="J54" s="51" t="s">
        <v>24</v>
      </c>
      <c r="K54" s="51" t="s">
        <v>25</v>
      </c>
      <c r="L54" s="51" t="s">
        <v>26</v>
      </c>
      <c r="M54" s="51" t="s">
        <v>27</v>
      </c>
      <c r="N54" s="52" t="s">
        <v>28</v>
      </c>
    </row>
    <row r="55" spans="1:15" s="17" customFormat="1" ht="21" customHeight="1" thickBot="1" x14ac:dyDescent="0.25">
      <c r="A55" s="14" t="s">
        <v>31</v>
      </c>
      <c r="B55" s="15" t="s">
        <v>5</v>
      </c>
      <c r="C55" s="73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2"/>
      <c r="O55" s="44"/>
    </row>
    <row r="56" spans="1:15" s="17" customFormat="1" ht="14.25" customHeight="1" thickBot="1" x14ac:dyDescent="0.25">
      <c r="A56" s="18" t="s">
        <v>32</v>
      </c>
      <c r="B56" s="78" t="s">
        <v>7</v>
      </c>
      <c r="C56" s="20"/>
      <c r="D56" s="20"/>
      <c r="E56" s="21"/>
      <c r="F56" s="21"/>
      <c r="G56" s="63"/>
      <c r="H56" s="21"/>
      <c r="I56" s="21"/>
      <c r="J56" s="21"/>
      <c r="K56" s="21"/>
      <c r="L56" s="21"/>
      <c r="M56" s="21"/>
      <c r="N56" s="22"/>
      <c r="O56" s="61"/>
    </row>
    <row r="57" spans="1:15" s="13" customFormat="1" ht="14.25" customHeight="1" x14ac:dyDescent="0.2">
      <c r="A57" s="80"/>
      <c r="B57" s="86" t="s">
        <v>61</v>
      </c>
      <c r="C57" s="155">
        <f>SUM(C58:C61)</f>
        <v>4996.5930000000008</v>
      </c>
      <c r="D57" s="155">
        <f t="shared" ref="D57:N57" si="14">SUM(D58:D61)</f>
        <v>5193.6730000000007</v>
      </c>
      <c r="E57" s="156">
        <f t="shared" si="14"/>
        <v>5202.3430000000008</v>
      </c>
      <c r="F57" s="156">
        <f t="shared" si="14"/>
        <v>5166.6730000000007</v>
      </c>
      <c r="G57" s="156">
        <f t="shared" si="14"/>
        <v>5144.4430000000002</v>
      </c>
      <c r="H57" s="156">
        <f t="shared" si="14"/>
        <v>5155.473</v>
      </c>
      <c r="I57" s="156">
        <f t="shared" si="14"/>
        <v>5411.143</v>
      </c>
      <c r="J57" s="156">
        <f t="shared" si="14"/>
        <v>5437.7030000000004</v>
      </c>
      <c r="K57" s="156">
        <f t="shared" si="14"/>
        <v>5386.4530000000004</v>
      </c>
      <c r="L57" s="156">
        <f t="shared" si="14"/>
        <v>5896.9835300365248</v>
      </c>
      <c r="M57" s="156">
        <f t="shared" si="14"/>
        <v>5949.8635300365249</v>
      </c>
      <c r="N57" s="156">
        <f t="shared" si="14"/>
        <v>5901.0035300365253</v>
      </c>
      <c r="O57" s="61"/>
    </row>
    <row r="58" spans="1:15" s="13" customFormat="1" ht="15" customHeight="1" x14ac:dyDescent="0.2">
      <c r="A58" s="29"/>
      <c r="B58" s="89" t="s">
        <v>101</v>
      </c>
      <c r="C58" s="101">
        <v>2190.75</v>
      </c>
      <c r="D58" s="101">
        <v>2387.83</v>
      </c>
      <c r="E58" s="102">
        <v>2396.5</v>
      </c>
      <c r="F58" s="102">
        <v>2360.83</v>
      </c>
      <c r="G58" s="157">
        <v>2338.6</v>
      </c>
      <c r="H58" s="101">
        <v>2349.63</v>
      </c>
      <c r="I58" s="101">
        <v>2605.3000000000002</v>
      </c>
      <c r="J58" s="101">
        <v>2631.86</v>
      </c>
      <c r="K58" s="101">
        <v>2580.61</v>
      </c>
      <c r="L58" s="101">
        <v>2625.93</v>
      </c>
      <c r="M58" s="101">
        <v>2678.81</v>
      </c>
      <c r="N58" s="158">
        <v>2629.95</v>
      </c>
      <c r="O58" s="61"/>
    </row>
    <row r="59" spans="1:15" s="13" customFormat="1" ht="15" customHeight="1" x14ac:dyDescent="0.2">
      <c r="A59" s="25"/>
      <c r="B59" s="90" t="s">
        <v>8</v>
      </c>
      <c r="C59" s="146">
        <v>2725.6</v>
      </c>
      <c r="D59" s="146">
        <v>2725.6</v>
      </c>
      <c r="E59" s="99">
        <v>2725.6</v>
      </c>
      <c r="F59" s="99">
        <v>2725.6</v>
      </c>
      <c r="G59" s="147">
        <v>2725.6</v>
      </c>
      <c r="H59" s="146">
        <v>2725.6</v>
      </c>
      <c r="I59" s="146">
        <v>2725.6</v>
      </c>
      <c r="J59" s="146">
        <v>2725.6</v>
      </c>
      <c r="K59" s="146">
        <v>2725.6</v>
      </c>
      <c r="L59" s="146">
        <v>3139.89</v>
      </c>
      <c r="M59" s="146">
        <v>3139.89</v>
      </c>
      <c r="N59" s="148">
        <v>3139.89</v>
      </c>
      <c r="O59" s="61"/>
    </row>
    <row r="60" spans="1:15" s="13" customFormat="1" ht="15" customHeight="1" x14ac:dyDescent="0.2">
      <c r="A60" s="29"/>
      <c r="B60" s="89" t="s">
        <v>9</v>
      </c>
      <c r="C60" s="114">
        <v>74.88</v>
      </c>
      <c r="D60" s="114">
        <v>74.88</v>
      </c>
      <c r="E60" s="115">
        <v>74.88</v>
      </c>
      <c r="F60" s="115">
        <v>74.88</v>
      </c>
      <c r="G60" s="116">
        <v>74.88</v>
      </c>
      <c r="H60" s="114">
        <v>74.88</v>
      </c>
      <c r="I60" s="114">
        <v>74.88</v>
      </c>
      <c r="J60" s="114">
        <v>74.88</v>
      </c>
      <c r="K60" s="114">
        <v>74.88</v>
      </c>
      <c r="L60" s="114">
        <v>125.04</v>
      </c>
      <c r="M60" s="114">
        <v>125.04</v>
      </c>
      <c r="N60" s="117">
        <v>125.04</v>
      </c>
      <c r="O60" s="61"/>
    </row>
    <row r="61" spans="1:15" s="13" customFormat="1" x14ac:dyDescent="0.2">
      <c r="A61" s="81"/>
      <c r="B61" s="91" t="s">
        <v>42</v>
      </c>
      <c r="C61" s="106">
        <v>5.3629999999999995</v>
      </c>
      <c r="D61" s="106">
        <v>5.3629999999999995</v>
      </c>
      <c r="E61" s="107">
        <v>5.3629999999999995</v>
      </c>
      <c r="F61" s="107">
        <v>5.3629999999999995</v>
      </c>
      <c r="G61" s="108">
        <v>5.3629999999999995</v>
      </c>
      <c r="H61" s="106">
        <v>5.3629999999999995</v>
      </c>
      <c r="I61" s="106">
        <v>5.3629999999999995</v>
      </c>
      <c r="J61" s="106">
        <v>5.3629999999999995</v>
      </c>
      <c r="K61" s="106">
        <v>5.3629999999999995</v>
      </c>
      <c r="L61" s="106">
        <v>6.1235300365250511</v>
      </c>
      <c r="M61" s="106">
        <v>6.1235300365250511</v>
      </c>
      <c r="N61" s="109">
        <v>6.1235300365250511</v>
      </c>
      <c r="O61" s="61"/>
    </row>
    <row r="62" spans="1:15" s="13" customFormat="1" ht="25.5" x14ac:dyDescent="0.2">
      <c r="A62" s="178"/>
      <c r="B62" s="87" t="s">
        <v>118</v>
      </c>
      <c r="C62" s="118">
        <f>SUM(C63:C64)</f>
        <v>1063691.4400000002</v>
      </c>
      <c r="D62" s="118">
        <f t="shared" ref="D62:N62" si="15">SUM(D63:D64)</f>
        <v>1007002.78</v>
      </c>
      <c r="E62" s="126">
        <f t="shared" si="15"/>
        <v>1062450.8899999999</v>
      </c>
      <c r="F62" s="126">
        <f t="shared" si="15"/>
        <v>1056190.19</v>
      </c>
      <c r="G62" s="118">
        <f t="shared" si="15"/>
        <v>1227142.22</v>
      </c>
      <c r="H62" s="118">
        <f t="shared" si="15"/>
        <v>1197387.5999999999</v>
      </c>
      <c r="I62" s="118">
        <f t="shared" si="15"/>
        <v>1200392.96</v>
      </c>
      <c r="J62" s="118">
        <f t="shared" si="15"/>
        <v>1192228.79</v>
      </c>
      <c r="K62" s="118">
        <f t="shared" si="15"/>
        <v>1192669.18</v>
      </c>
      <c r="L62" s="118">
        <f t="shared" si="15"/>
        <v>1225813.8399999999</v>
      </c>
      <c r="M62" s="118">
        <f t="shared" si="15"/>
        <v>1234126.6700000002</v>
      </c>
      <c r="N62" s="127">
        <f t="shared" si="15"/>
        <v>1233361.28</v>
      </c>
      <c r="O62" s="61"/>
    </row>
    <row r="63" spans="1:15" s="13" customFormat="1" ht="25.5" x14ac:dyDescent="0.2">
      <c r="A63" s="178"/>
      <c r="B63" s="91" t="s">
        <v>116</v>
      </c>
      <c r="C63" s="101">
        <v>850.58</v>
      </c>
      <c r="D63" s="101">
        <v>1150.1400000000001</v>
      </c>
      <c r="E63" s="102">
        <v>1178.98</v>
      </c>
      <c r="F63" s="102">
        <v>1377.28</v>
      </c>
      <c r="G63" s="157">
        <v>1386.94</v>
      </c>
      <c r="H63" s="101">
        <v>1354.18</v>
      </c>
      <c r="I63" s="101">
        <v>1251.6600000000001</v>
      </c>
      <c r="J63" s="101">
        <v>1551.11</v>
      </c>
      <c r="K63" s="101">
        <v>1608.71</v>
      </c>
      <c r="L63" s="101">
        <v>1250.6400000000001</v>
      </c>
      <c r="M63" s="101">
        <v>1067.3599999999999</v>
      </c>
      <c r="N63" s="158">
        <v>1060.92</v>
      </c>
      <c r="O63" s="61"/>
    </row>
    <row r="64" spans="1:15" s="13" customFormat="1" ht="26.25" thickBot="1" x14ac:dyDescent="0.25">
      <c r="A64" s="82"/>
      <c r="B64" s="186" t="s">
        <v>117</v>
      </c>
      <c r="C64" s="187">
        <v>1062840.8600000001</v>
      </c>
      <c r="D64" s="187">
        <v>1005852.64</v>
      </c>
      <c r="E64" s="100">
        <v>1061271.9099999999</v>
      </c>
      <c r="F64" s="100">
        <v>1054812.9099999999</v>
      </c>
      <c r="G64" s="192">
        <v>1225755.28</v>
      </c>
      <c r="H64" s="187">
        <v>1196033.42</v>
      </c>
      <c r="I64" s="187">
        <v>1199141.3</v>
      </c>
      <c r="J64" s="187">
        <v>1190677.68</v>
      </c>
      <c r="K64" s="187">
        <v>1191060.47</v>
      </c>
      <c r="L64" s="187">
        <v>1224563.2</v>
      </c>
      <c r="M64" s="187">
        <v>1233059.31</v>
      </c>
      <c r="N64" s="188">
        <v>1232300.3600000001</v>
      </c>
    </row>
    <row r="65" spans="1:15" s="13" customFormat="1" ht="26.25" thickBot="1" x14ac:dyDescent="0.25">
      <c r="A65" s="36" t="s">
        <v>33</v>
      </c>
      <c r="B65" s="37" t="s">
        <v>11</v>
      </c>
      <c r="C65" s="20"/>
      <c r="D65" s="20"/>
      <c r="E65" s="21"/>
      <c r="F65" s="21"/>
      <c r="G65" s="66"/>
      <c r="H65" s="20"/>
      <c r="I65" s="20"/>
      <c r="J65" s="20"/>
      <c r="K65" s="20"/>
      <c r="L65" s="20"/>
      <c r="M65" s="20"/>
      <c r="N65" s="55"/>
    </row>
    <row r="66" spans="1:15" s="13" customFormat="1" ht="14.25" customHeight="1" x14ac:dyDescent="0.2">
      <c r="A66" s="85"/>
      <c r="B66" s="88" t="s">
        <v>61</v>
      </c>
      <c r="C66" s="159">
        <f>SUM(C67:C69)</f>
        <v>2270.9929999999999</v>
      </c>
      <c r="D66" s="159">
        <f t="shared" ref="D66:N66" si="16">SUM(D67:D69)</f>
        <v>2468.0729999999999</v>
      </c>
      <c r="E66" s="160">
        <f t="shared" si="16"/>
        <v>2476.7429999999999</v>
      </c>
      <c r="F66" s="160">
        <f t="shared" si="16"/>
        <v>2441.0729999999999</v>
      </c>
      <c r="G66" s="160">
        <f t="shared" si="16"/>
        <v>2418.8429999999998</v>
      </c>
      <c r="H66" s="160">
        <f t="shared" si="16"/>
        <v>2429.873</v>
      </c>
      <c r="I66" s="160">
        <f t="shared" si="16"/>
        <v>2685.5430000000001</v>
      </c>
      <c r="J66" s="160">
        <f t="shared" si="16"/>
        <v>2712.1030000000001</v>
      </c>
      <c r="K66" s="160">
        <f t="shared" si="16"/>
        <v>2660.8530000000001</v>
      </c>
      <c r="L66" s="160">
        <f t="shared" si="16"/>
        <v>2757.093530036525</v>
      </c>
      <c r="M66" s="160">
        <f t="shared" si="16"/>
        <v>2809.9735300365251</v>
      </c>
      <c r="N66" s="161">
        <f t="shared" si="16"/>
        <v>2761.1135300365249</v>
      </c>
    </row>
    <row r="67" spans="1:15" s="13" customFormat="1" ht="15" customHeight="1" x14ac:dyDescent="0.2">
      <c r="A67" s="25"/>
      <c r="B67" s="89" t="s">
        <v>101</v>
      </c>
      <c r="C67" s="101">
        <f t="shared" ref="C67:N67" si="17">C58</f>
        <v>2190.75</v>
      </c>
      <c r="D67" s="101">
        <f t="shared" si="17"/>
        <v>2387.83</v>
      </c>
      <c r="E67" s="102">
        <f t="shared" si="17"/>
        <v>2396.5</v>
      </c>
      <c r="F67" s="102">
        <f t="shared" si="17"/>
        <v>2360.83</v>
      </c>
      <c r="G67" s="157">
        <f t="shared" si="17"/>
        <v>2338.6</v>
      </c>
      <c r="H67" s="101">
        <f t="shared" si="17"/>
        <v>2349.63</v>
      </c>
      <c r="I67" s="101">
        <f t="shared" si="17"/>
        <v>2605.3000000000002</v>
      </c>
      <c r="J67" s="101">
        <f t="shared" si="17"/>
        <v>2631.86</v>
      </c>
      <c r="K67" s="101">
        <f t="shared" si="17"/>
        <v>2580.61</v>
      </c>
      <c r="L67" s="101">
        <f t="shared" si="17"/>
        <v>2625.93</v>
      </c>
      <c r="M67" s="101">
        <f t="shared" si="17"/>
        <v>2678.81</v>
      </c>
      <c r="N67" s="158">
        <f t="shared" si="17"/>
        <v>2629.95</v>
      </c>
    </row>
    <row r="68" spans="1:15" s="13" customFormat="1" ht="15" customHeight="1" x14ac:dyDescent="0.2">
      <c r="A68" s="40"/>
      <c r="B68" s="90" t="s">
        <v>9</v>
      </c>
      <c r="C68" s="114">
        <v>74.88</v>
      </c>
      <c r="D68" s="114">
        <f t="shared" ref="D68:N68" si="18">D60</f>
        <v>74.88</v>
      </c>
      <c r="E68" s="115">
        <f t="shared" si="18"/>
        <v>74.88</v>
      </c>
      <c r="F68" s="115">
        <f t="shared" si="18"/>
        <v>74.88</v>
      </c>
      <c r="G68" s="121">
        <f t="shared" si="18"/>
        <v>74.88</v>
      </c>
      <c r="H68" s="115">
        <f t="shared" si="18"/>
        <v>74.88</v>
      </c>
      <c r="I68" s="115">
        <f t="shared" si="18"/>
        <v>74.88</v>
      </c>
      <c r="J68" s="115">
        <f t="shared" si="18"/>
        <v>74.88</v>
      </c>
      <c r="K68" s="115">
        <f t="shared" si="18"/>
        <v>74.88</v>
      </c>
      <c r="L68" s="115">
        <f t="shared" si="18"/>
        <v>125.04</v>
      </c>
      <c r="M68" s="115">
        <f t="shared" si="18"/>
        <v>125.04</v>
      </c>
      <c r="N68" s="122">
        <f t="shared" si="18"/>
        <v>125.04</v>
      </c>
    </row>
    <row r="69" spans="1:15" s="13" customFormat="1" ht="15" customHeight="1" x14ac:dyDescent="0.2">
      <c r="A69" s="81"/>
      <c r="B69" s="91" t="s">
        <v>42</v>
      </c>
      <c r="C69" s="106">
        <f>C61</f>
        <v>5.3629999999999995</v>
      </c>
      <c r="D69" s="106">
        <f t="shared" ref="D69:N69" si="19">D61</f>
        <v>5.3629999999999995</v>
      </c>
      <c r="E69" s="107">
        <f t="shared" si="19"/>
        <v>5.3629999999999995</v>
      </c>
      <c r="F69" s="107">
        <f t="shared" si="19"/>
        <v>5.3629999999999995</v>
      </c>
      <c r="G69" s="108">
        <f t="shared" si="19"/>
        <v>5.3629999999999995</v>
      </c>
      <c r="H69" s="106">
        <f t="shared" si="19"/>
        <v>5.3629999999999995</v>
      </c>
      <c r="I69" s="106">
        <f t="shared" si="19"/>
        <v>5.3629999999999995</v>
      </c>
      <c r="J69" s="106">
        <f t="shared" si="19"/>
        <v>5.3629999999999995</v>
      </c>
      <c r="K69" s="106">
        <f t="shared" si="19"/>
        <v>5.3629999999999995</v>
      </c>
      <c r="L69" s="106">
        <f t="shared" si="19"/>
        <v>6.1235300365250511</v>
      </c>
      <c r="M69" s="106">
        <f t="shared" si="19"/>
        <v>6.1235300365250511</v>
      </c>
      <c r="N69" s="109">
        <f t="shared" si="19"/>
        <v>6.1235300365250511</v>
      </c>
    </row>
    <row r="70" spans="1:15" s="13" customFormat="1" ht="25.5" x14ac:dyDescent="0.2">
      <c r="A70" s="81"/>
      <c r="B70" s="87" t="s">
        <v>118</v>
      </c>
      <c r="C70" s="118">
        <f>SUM(C71:C72)</f>
        <v>1063691.4400000002</v>
      </c>
      <c r="D70" s="118">
        <f t="shared" ref="D70:N70" si="20">SUM(D71:D72)</f>
        <v>1007002.78</v>
      </c>
      <c r="E70" s="126">
        <f t="shared" si="20"/>
        <v>1062450.8899999999</v>
      </c>
      <c r="F70" s="126">
        <f t="shared" si="20"/>
        <v>1056190.19</v>
      </c>
      <c r="G70" s="118">
        <f t="shared" si="20"/>
        <v>1227142.22</v>
      </c>
      <c r="H70" s="118">
        <f t="shared" si="20"/>
        <v>1197387.5999999999</v>
      </c>
      <c r="I70" s="118">
        <f t="shared" si="20"/>
        <v>1200392.96</v>
      </c>
      <c r="J70" s="118">
        <f t="shared" si="20"/>
        <v>1192228.79</v>
      </c>
      <c r="K70" s="118">
        <f t="shared" si="20"/>
        <v>1192669.18</v>
      </c>
      <c r="L70" s="118">
        <f t="shared" si="20"/>
        <v>1225813.8399999999</v>
      </c>
      <c r="M70" s="118">
        <f t="shared" si="20"/>
        <v>1234126.6700000002</v>
      </c>
      <c r="N70" s="127">
        <f t="shared" si="20"/>
        <v>1233361.28</v>
      </c>
    </row>
    <row r="71" spans="1:15" s="13" customFormat="1" ht="25.5" x14ac:dyDescent="0.2">
      <c r="A71" s="81"/>
      <c r="B71" s="91" t="s">
        <v>116</v>
      </c>
      <c r="C71" s="101">
        <v>850.58</v>
      </c>
      <c r="D71" s="101">
        <v>1150.1400000000001</v>
      </c>
      <c r="E71" s="102">
        <v>1178.98</v>
      </c>
      <c r="F71" s="102">
        <v>1377.28</v>
      </c>
      <c r="G71" s="157">
        <v>1386.94</v>
      </c>
      <c r="H71" s="101">
        <v>1354.18</v>
      </c>
      <c r="I71" s="101">
        <v>1251.6600000000001</v>
      </c>
      <c r="J71" s="101">
        <v>1551.11</v>
      </c>
      <c r="K71" s="101">
        <v>1608.71</v>
      </c>
      <c r="L71" s="101">
        <v>1250.6400000000001</v>
      </c>
      <c r="M71" s="101">
        <v>1067.3599999999999</v>
      </c>
      <c r="N71" s="158">
        <v>1060.92</v>
      </c>
    </row>
    <row r="72" spans="1:15" s="13" customFormat="1" ht="26.25" thickBot="1" x14ac:dyDescent="0.25">
      <c r="A72" s="32"/>
      <c r="B72" s="186" t="s">
        <v>117</v>
      </c>
      <c r="C72" s="187">
        <v>1062840.8600000001</v>
      </c>
      <c r="D72" s="187">
        <v>1005852.64</v>
      </c>
      <c r="E72" s="100">
        <v>1061271.9099999999</v>
      </c>
      <c r="F72" s="100">
        <v>1054812.9099999999</v>
      </c>
      <c r="G72" s="192">
        <v>1225755.28</v>
      </c>
      <c r="H72" s="187">
        <v>1196033.42</v>
      </c>
      <c r="I72" s="187">
        <v>1199141.3</v>
      </c>
      <c r="J72" s="187">
        <v>1190677.68</v>
      </c>
      <c r="K72" s="187">
        <v>1191060.47</v>
      </c>
      <c r="L72" s="187">
        <v>1224563.2</v>
      </c>
      <c r="M72" s="187">
        <v>1233059.31</v>
      </c>
      <c r="N72" s="188">
        <v>1232300.3600000001</v>
      </c>
    </row>
    <row r="73" spans="1:15" s="13" customFormat="1" ht="15" customHeight="1" x14ac:dyDescent="0.2">
      <c r="A73" s="45"/>
      <c r="B73" s="46"/>
      <c r="C73" s="47"/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5" s="13" customFormat="1" ht="15" customHeight="1" x14ac:dyDescent="0.2">
      <c r="A74" s="45"/>
      <c r="B74" s="46"/>
      <c r="C74" s="47"/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5" s="59" customFormat="1" ht="21" customHeight="1" thickBot="1" x14ac:dyDescent="0.25">
      <c r="A75" s="7" t="s">
        <v>97</v>
      </c>
      <c r="B75" s="7"/>
      <c r="C75" s="7"/>
      <c r="D75" s="7"/>
      <c r="E75" s="7"/>
      <c r="F75" s="7"/>
      <c r="G75" s="5"/>
      <c r="H75" s="5"/>
      <c r="I75" s="5"/>
      <c r="J75" s="5"/>
      <c r="K75" s="5"/>
      <c r="L75" s="6"/>
      <c r="M75" s="6"/>
      <c r="N75" s="6"/>
    </row>
    <row r="76" spans="1:15" s="13" customFormat="1" ht="24" customHeight="1" thickBot="1" x14ac:dyDescent="0.25">
      <c r="A76" s="49" t="s">
        <v>0</v>
      </c>
      <c r="B76" s="50" t="s">
        <v>1</v>
      </c>
      <c r="C76" s="51" t="s">
        <v>17</v>
      </c>
      <c r="D76" s="51" t="s">
        <v>18</v>
      </c>
      <c r="E76" s="51" t="s">
        <v>19</v>
      </c>
      <c r="F76" s="51" t="s">
        <v>20</v>
      </c>
      <c r="G76" s="51" t="s">
        <v>21</v>
      </c>
      <c r="H76" s="51" t="s">
        <v>22</v>
      </c>
      <c r="I76" s="51" t="s">
        <v>23</v>
      </c>
      <c r="J76" s="51" t="s">
        <v>24</v>
      </c>
      <c r="K76" s="51" t="s">
        <v>25</v>
      </c>
      <c r="L76" s="51" t="s">
        <v>26</v>
      </c>
      <c r="M76" s="51" t="s">
        <v>27</v>
      </c>
      <c r="N76" s="52" t="s">
        <v>28</v>
      </c>
    </row>
    <row r="77" spans="1:15" s="17" customFormat="1" ht="21" customHeight="1" thickBot="1" x14ac:dyDescent="0.25">
      <c r="A77" s="14" t="s">
        <v>34</v>
      </c>
      <c r="B77" s="15" t="s">
        <v>5</v>
      </c>
      <c r="C77" s="73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2"/>
      <c r="O77" s="44"/>
    </row>
    <row r="78" spans="1:15" s="17" customFormat="1" ht="13.5" thickBot="1" x14ac:dyDescent="0.25">
      <c r="A78" s="18" t="s">
        <v>35</v>
      </c>
      <c r="B78" s="78" t="s">
        <v>7</v>
      </c>
      <c r="C78" s="20"/>
      <c r="D78" s="20"/>
      <c r="E78" s="21"/>
      <c r="F78" s="21"/>
      <c r="G78" s="63"/>
      <c r="H78" s="21"/>
      <c r="I78" s="21"/>
      <c r="J78" s="21"/>
      <c r="K78" s="21"/>
      <c r="L78" s="21"/>
      <c r="M78" s="21"/>
      <c r="N78" s="22"/>
      <c r="O78" s="61"/>
    </row>
    <row r="79" spans="1:15" s="13" customFormat="1" ht="15" customHeight="1" x14ac:dyDescent="0.2">
      <c r="A79" s="80"/>
      <c r="B79" s="86" t="s">
        <v>61</v>
      </c>
      <c r="C79" s="155">
        <f>SUM(C80:C83)</f>
        <v>6672.7530000000006</v>
      </c>
      <c r="D79" s="155">
        <f t="shared" ref="D79:N79" si="21">SUM(D80:D83)</f>
        <v>6869.8330000000005</v>
      </c>
      <c r="E79" s="156">
        <f t="shared" si="21"/>
        <v>6878.5030000000006</v>
      </c>
      <c r="F79" s="156">
        <f t="shared" si="21"/>
        <v>6842.8330000000005</v>
      </c>
      <c r="G79" s="156">
        <f t="shared" si="21"/>
        <v>6820.603000000001</v>
      </c>
      <c r="H79" s="156">
        <f t="shared" si="21"/>
        <v>6831.6330000000007</v>
      </c>
      <c r="I79" s="156">
        <f t="shared" si="21"/>
        <v>7087.3030000000008</v>
      </c>
      <c r="J79" s="156">
        <f t="shared" si="21"/>
        <v>7113.8630000000012</v>
      </c>
      <c r="K79" s="156">
        <f t="shared" si="21"/>
        <v>7062.6130000000012</v>
      </c>
      <c r="L79" s="156">
        <f t="shared" si="21"/>
        <v>7827.9235300365253</v>
      </c>
      <c r="M79" s="156">
        <f t="shared" si="21"/>
        <v>7880.8035300365245</v>
      </c>
      <c r="N79" s="156">
        <f t="shared" si="21"/>
        <v>7831.9435300365249</v>
      </c>
      <c r="O79" s="61"/>
    </row>
    <row r="80" spans="1:15" s="13" customFormat="1" ht="15" customHeight="1" x14ac:dyDescent="0.2">
      <c r="A80" s="29"/>
      <c r="B80" s="89" t="s">
        <v>101</v>
      </c>
      <c r="C80" s="101">
        <v>2190.75</v>
      </c>
      <c r="D80" s="101">
        <v>2387.83</v>
      </c>
      <c r="E80" s="102">
        <v>2396.5</v>
      </c>
      <c r="F80" s="102">
        <v>2360.83</v>
      </c>
      <c r="G80" s="157">
        <v>2338.6</v>
      </c>
      <c r="H80" s="101">
        <v>2349.63</v>
      </c>
      <c r="I80" s="101">
        <v>2605.3000000000002</v>
      </c>
      <c r="J80" s="101">
        <v>2631.86</v>
      </c>
      <c r="K80" s="101">
        <v>2580.61</v>
      </c>
      <c r="L80" s="101">
        <v>2625.93</v>
      </c>
      <c r="M80" s="101">
        <v>2678.81</v>
      </c>
      <c r="N80" s="158">
        <v>2629.95</v>
      </c>
      <c r="O80" s="61"/>
    </row>
    <row r="81" spans="1:15" s="13" customFormat="1" ht="15" customHeight="1" x14ac:dyDescent="0.2">
      <c r="A81" s="25"/>
      <c r="B81" s="90" t="s">
        <v>8</v>
      </c>
      <c r="C81" s="146">
        <v>4401.76</v>
      </c>
      <c r="D81" s="146">
        <v>4401.76</v>
      </c>
      <c r="E81" s="99">
        <v>4401.76</v>
      </c>
      <c r="F81" s="99">
        <v>4401.76</v>
      </c>
      <c r="G81" s="147">
        <v>4401.76</v>
      </c>
      <c r="H81" s="146">
        <v>4401.76</v>
      </c>
      <c r="I81" s="146">
        <v>4401.76</v>
      </c>
      <c r="J81" s="146">
        <v>4401.76</v>
      </c>
      <c r="K81" s="146">
        <v>4401.76</v>
      </c>
      <c r="L81" s="146">
        <v>5070.83</v>
      </c>
      <c r="M81" s="146">
        <v>5070.83</v>
      </c>
      <c r="N81" s="148">
        <v>5070.83</v>
      </c>
      <c r="O81" s="61"/>
    </row>
    <row r="82" spans="1:15" s="13" customFormat="1" ht="15" customHeight="1" x14ac:dyDescent="0.2">
      <c r="A82" s="29"/>
      <c r="B82" s="89" t="s">
        <v>9</v>
      </c>
      <c r="C82" s="114">
        <v>74.88</v>
      </c>
      <c r="D82" s="114">
        <v>74.88</v>
      </c>
      <c r="E82" s="115">
        <v>74.88</v>
      </c>
      <c r="F82" s="115">
        <v>74.88</v>
      </c>
      <c r="G82" s="116">
        <v>74.88</v>
      </c>
      <c r="H82" s="114">
        <v>74.88</v>
      </c>
      <c r="I82" s="114">
        <v>74.88</v>
      </c>
      <c r="J82" s="114">
        <v>74.88</v>
      </c>
      <c r="K82" s="114">
        <v>74.88</v>
      </c>
      <c r="L82" s="114">
        <v>125.04</v>
      </c>
      <c r="M82" s="114">
        <v>125.04</v>
      </c>
      <c r="N82" s="117">
        <v>125.04</v>
      </c>
      <c r="O82" s="61"/>
    </row>
    <row r="83" spans="1:15" s="13" customFormat="1" x14ac:dyDescent="0.2">
      <c r="A83" s="81"/>
      <c r="B83" s="91" t="s">
        <v>42</v>
      </c>
      <c r="C83" s="106">
        <v>5.3629999999999995</v>
      </c>
      <c r="D83" s="106">
        <v>5.3629999999999995</v>
      </c>
      <c r="E83" s="107">
        <v>5.3629999999999995</v>
      </c>
      <c r="F83" s="107">
        <v>5.3629999999999995</v>
      </c>
      <c r="G83" s="108">
        <v>5.3629999999999995</v>
      </c>
      <c r="H83" s="106">
        <v>5.3629999999999995</v>
      </c>
      <c r="I83" s="106">
        <v>5.3629999999999995</v>
      </c>
      <c r="J83" s="106">
        <v>5.3629999999999995</v>
      </c>
      <c r="K83" s="106">
        <v>5.3629999999999995</v>
      </c>
      <c r="L83" s="106">
        <v>6.1235300365250511</v>
      </c>
      <c r="M83" s="106">
        <v>6.1235300365250511</v>
      </c>
      <c r="N83" s="109">
        <v>6.1235300365250511</v>
      </c>
      <c r="O83" s="61"/>
    </row>
    <row r="84" spans="1:15" s="13" customFormat="1" ht="25.5" x14ac:dyDescent="0.2">
      <c r="A84" s="178"/>
      <c r="B84" s="87" t="s">
        <v>118</v>
      </c>
      <c r="C84" s="118">
        <f>SUM(C85:C86)</f>
        <v>1063691.4400000002</v>
      </c>
      <c r="D84" s="118">
        <f t="shared" ref="D84:N84" si="22">SUM(D85:D86)</f>
        <v>1007002.78</v>
      </c>
      <c r="E84" s="126">
        <f t="shared" si="22"/>
        <v>1062450.8899999999</v>
      </c>
      <c r="F84" s="126">
        <f t="shared" si="22"/>
        <v>1056190.19</v>
      </c>
      <c r="G84" s="118">
        <f t="shared" si="22"/>
        <v>1227142.22</v>
      </c>
      <c r="H84" s="118">
        <f t="shared" si="22"/>
        <v>1197387.5999999999</v>
      </c>
      <c r="I84" s="118">
        <f t="shared" si="22"/>
        <v>1200392.96</v>
      </c>
      <c r="J84" s="118">
        <f t="shared" si="22"/>
        <v>1192228.79</v>
      </c>
      <c r="K84" s="118">
        <f t="shared" si="22"/>
        <v>1192669.18</v>
      </c>
      <c r="L84" s="118">
        <f t="shared" si="22"/>
        <v>1225813.8399999999</v>
      </c>
      <c r="M84" s="118">
        <f t="shared" si="22"/>
        <v>1234126.6700000002</v>
      </c>
      <c r="N84" s="127">
        <f t="shared" si="22"/>
        <v>1233361.28</v>
      </c>
      <c r="O84" s="61"/>
    </row>
    <row r="85" spans="1:15" s="13" customFormat="1" ht="25.5" x14ac:dyDescent="0.2">
      <c r="A85" s="178"/>
      <c r="B85" s="91" t="s">
        <v>116</v>
      </c>
      <c r="C85" s="101">
        <v>850.58</v>
      </c>
      <c r="D85" s="101">
        <v>1150.1400000000001</v>
      </c>
      <c r="E85" s="102">
        <v>1178.98</v>
      </c>
      <c r="F85" s="102">
        <v>1377.28</v>
      </c>
      <c r="G85" s="157">
        <v>1386.94</v>
      </c>
      <c r="H85" s="101">
        <v>1354.18</v>
      </c>
      <c r="I85" s="101">
        <v>1251.6600000000001</v>
      </c>
      <c r="J85" s="101">
        <v>1551.11</v>
      </c>
      <c r="K85" s="101">
        <v>1608.71</v>
      </c>
      <c r="L85" s="101">
        <v>1250.6400000000001</v>
      </c>
      <c r="M85" s="101">
        <v>1067.3599999999999</v>
      </c>
      <c r="N85" s="158">
        <v>1060.92</v>
      </c>
      <c r="O85" s="61"/>
    </row>
    <row r="86" spans="1:15" s="13" customFormat="1" ht="26.25" thickBot="1" x14ac:dyDescent="0.25">
      <c r="A86" s="82"/>
      <c r="B86" s="186" t="s">
        <v>117</v>
      </c>
      <c r="C86" s="187">
        <v>1062840.8600000001</v>
      </c>
      <c r="D86" s="187">
        <v>1005852.64</v>
      </c>
      <c r="E86" s="100">
        <v>1061271.9099999999</v>
      </c>
      <c r="F86" s="100">
        <v>1054812.9099999999</v>
      </c>
      <c r="G86" s="192">
        <v>1225755.28</v>
      </c>
      <c r="H86" s="187">
        <v>1196033.42</v>
      </c>
      <c r="I86" s="187">
        <v>1199141.3</v>
      </c>
      <c r="J86" s="187">
        <v>1190677.68</v>
      </c>
      <c r="K86" s="187">
        <v>1191060.47</v>
      </c>
      <c r="L86" s="187">
        <v>1224563.2</v>
      </c>
      <c r="M86" s="187">
        <v>1233059.31</v>
      </c>
      <c r="N86" s="188">
        <v>1232300.3600000001</v>
      </c>
    </row>
    <row r="87" spans="1:15" s="13" customFormat="1" ht="26.25" thickBot="1" x14ac:dyDescent="0.25">
      <c r="A87" s="36" t="s">
        <v>36</v>
      </c>
      <c r="B87" s="37" t="s">
        <v>11</v>
      </c>
      <c r="C87" s="20"/>
      <c r="D87" s="20"/>
      <c r="E87" s="21"/>
      <c r="F87" s="21"/>
      <c r="G87" s="66"/>
      <c r="H87" s="20"/>
      <c r="I87" s="20"/>
      <c r="J87" s="20"/>
      <c r="K87" s="20"/>
      <c r="L87" s="20"/>
      <c r="M87" s="20"/>
      <c r="N87" s="55"/>
    </row>
    <row r="88" spans="1:15" s="13" customFormat="1" ht="15" customHeight="1" x14ac:dyDescent="0.2">
      <c r="A88" s="85"/>
      <c r="B88" s="88" t="s">
        <v>61</v>
      </c>
      <c r="C88" s="159">
        <f>SUM(C89:C91)</f>
        <v>2270.9929999999999</v>
      </c>
      <c r="D88" s="159">
        <f t="shared" ref="D88:N88" si="23">SUM(D89:D91)</f>
        <v>2468.0729999999999</v>
      </c>
      <c r="E88" s="160">
        <f t="shared" si="23"/>
        <v>2476.7429999999999</v>
      </c>
      <c r="F88" s="160">
        <f t="shared" si="23"/>
        <v>2441.0729999999999</v>
      </c>
      <c r="G88" s="160">
        <f t="shared" si="23"/>
        <v>2418.8429999999998</v>
      </c>
      <c r="H88" s="160">
        <f t="shared" si="23"/>
        <v>2429.873</v>
      </c>
      <c r="I88" s="160">
        <f t="shared" si="23"/>
        <v>2685.5430000000001</v>
      </c>
      <c r="J88" s="160">
        <f t="shared" si="23"/>
        <v>2712.1030000000001</v>
      </c>
      <c r="K88" s="160">
        <f t="shared" si="23"/>
        <v>2660.8530000000001</v>
      </c>
      <c r="L88" s="160">
        <f t="shared" si="23"/>
        <v>2757.093530036525</v>
      </c>
      <c r="M88" s="160">
        <f t="shared" si="23"/>
        <v>2809.9735300365251</v>
      </c>
      <c r="N88" s="161">
        <f t="shared" si="23"/>
        <v>2761.1135300365249</v>
      </c>
    </row>
    <row r="89" spans="1:15" s="13" customFormat="1" ht="15" customHeight="1" x14ac:dyDescent="0.2">
      <c r="A89" s="25"/>
      <c r="B89" s="89" t="s">
        <v>101</v>
      </c>
      <c r="C89" s="101">
        <f t="shared" ref="C89:N89" si="24">C80</f>
        <v>2190.75</v>
      </c>
      <c r="D89" s="101">
        <f t="shared" si="24"/>
        <v>2387.83</v>
      </c>
      <c r="E89" s="102">
        <f t="shared" si="24"/>
        <v>2396.5</v>
      </c>
      <c r="F89" s="102">
        <f t="shared" si="24"/>
        <v>2360.83</v>
      </c>
      <c r="G89" s="157">
        <f t="shared" si="24"/>
        <v>2338.6</v>
      </c>
      <c r="H89" s="101">
        <f t="shared" si="24"/>
        <v>2349.63</v>
      </c>
      <c r="I89" s="101">
        <f t="shared" si="24"/>
        <v>2605.3000000000002</v>
      </c>
      <c r="J89" s="101">
        <f t="shared" si="24"/>
        <v>2631.86</v>
      </c>
      <c r="K89" s="101">
        <f t="shared" si="24"/>
        <v>2580.61</v>
      </c>
      <c r="L89" s="101">
        <f t="shared" si="24"/>
        <v>2625.93</v>
      </c>
      <c r="M89" s="101">
        <f t="shared" si="24"/>
        <v>2678.81</v>
      </c>
      <c r="N89" s="158">
        <f t="shared" si="24"/>
        <v>2629.95</v>
      </c>
    </row>
    <row r="90" spans="1:15" s="13" customFormat="1" ht="15" customHeight="1" x14ac:dyDescent="0.2">
      <c r="A90" s="40"/>
      <c r="B90" s="90" t="s">
        <v>9</v>
      </c>
      <c r="C90" s="114">
        <v>74.88</v>
      </c>
      <c r="D90" s="114">
        <f t="shared" ref="D90:N90" si="25">D82</f>
        <v>74.88</v>
      </c>
      <c r="E90" s="115">
        <f t="shared" si="25"/>
        <v>74.88</v>
      </c>
      <c r="F90" s="115">
        <f t="shared" si="25"/>
        <v>74.88</v>
      </c>
      <c r="G90" s="121">
        <f t="shared" si="25"/>
        <v>74.88</v>
      </c>
      <c r="H90" s="115">
        <f t="shared" si="25"/>
        <v>74.88</v>
      </c>
      <c r="I90" s="115">
        <f t="shared" si="25"/>
        <v>74.88</v>
      </c>
      <c r="J90" s="115">
        <f t="shared" si="25"/>
        <v>74.88</v>
      </c>
      <c r="K90" s="115">
        <f t="shared" si="25"/>
        <v>74.88</v>
      </c>
      <c r="L90" s="115">
        <f t="shared" si="25"/>
        <v>125.04</v>
      </c>
      <c r="M90" s="115">
        <f t="shared" si="25"/>
        <v>125.04</v>
      </c>
      <c r="N90" s="122">
        <f t="shared" si="25"/>
        <v>125.04</v>
      </c>
    </row>
    <row r="91" spans="1:15" s="13" customFormat="1" ht="15" customHeight="1" x14ac:dyDescent="0.2">
      <c r="A91" s="81"/>
      <c r="B91" s="91" t="s">
        <v>42</v>
      </c>
      <c r="C91" s="106">
        <f>C83</f>
        <v>5.3629999999999995</v>
      </c>
      <c r="D91" s="106">
        <f t="shared" ref="D91:N91" si="26">D83</f>
        <v>5.3629999999999995</v>
      </c>
      <c r="E91" s="107">
        <f t="shared" si="26"/>
        <v>5.3629999999999995</v>
      </c>
      <c r="F91" s="107">
        <f t="shared" si="26"/>
        <v>5.3629999999999995</v>
      </c>
      <c r="G91" s="108">
        <f t="shared" si="26"/>
        <v>5.3629999999999995</v>
      </c>
      <c r="H91" s="106">
        <f t="shared" si="26"/>
        <v>5.3629999999999995</v>
      </c>
      <c r="I91" s="106">
        <f t="shared" si="26"/>
        <v>5.3629999999999995</v>
      </c>
      <c r="J91" s="106">
        <f t="shared" si="26"/>
        <v>5.3629999999999995</v>
      </c>
      <c r="K91" s="106">
        <f t="shared" si="26"/>
        <v>5.3629999999999995</v>
      </c>
      <c r="L91" s="106">
        <f t="shared" si="26"/>
        <v>6.1235300365250511</v>
      </c>
      <c r="M91" s="106">
        <f t="shared" si="26"/>
        <v>6.1235300365250511</v>
      </c>
      <c r="N91" s="109">
        <f t="shared" si="26"/>
        <v>6.1235300365250511</v>
      </c>
    </row>
    <row r="92" spans="1:15" s="13" customFormat="1" ht="25.5" x14ac:dyDescent="0.2">
      <c r="A92" s="81"/>
      <c r="B92" s="87" t="s">
        <v>118</v>
      </c>
      <c r="C92" s="118">
        <f>SUM(C93:C94)</f>
        <v>1063691.4400000002</v>
      </c>
      <c r="D92" s="118">
        <f t="shared" ref="D92:N92" si="27">SUM(D93:D94)</f>
        <v>1007002.78</v>
      </c>
      <c r="E92" s="126">
        <f t="shared" si="27"/>
        <v>1062450.8899999999</v>
      </c>
      <c r="F92" s="126">
        <f t="shared" si="27"/>
        <v>1056190.19</v>
      </c>
      <c r="G92" s="118">
        <f t="shared" si="27"/>
        <v>1227142.22</v>
      </c>
      <c r="H92" s="118">
        <f t="shared" si="27"/>
        <v>1197387.5999999999</v>
      </c>
      <c r="I92" s="118">
        <f t="shared" si="27"/>
        <v>1200392.96</v>
      </c>
      <c r="J92" s="118">
        <f t="shared" si="27"/>
        <v>1192228.79</v>
      </c>
      <c r="K92" s="118">
        <f t="shared" si="27"/>
        <v>1192669.18</v>
      </c>
      <c r="L92" s="118">
        <f t="shared" si="27"/>
        <v>1225813.8399999999</v>
      </c>
      <c r="M92" s="118">
        <f t="shared" si="27"/>
        <v>1234126.6700000002</v>
      </c>
      <c r="N92" s="127">
        <f t="shared" si="27"/>
        <v>1233361.28</v>
      </c>
    </row>
    <row r="93" spans="1:15" s="13" customFormat="1" ht="25.5" x14ac:dyDescent="0.2">
      <c r="A93" s="81"/>
      <c r="B93" s="91" t="s">
        <v>116</v>
      </c>
      <c r="C93" s="101">
        <v>850.58</v>
      </c>
      <c r="D93" s="101">
        <v>1150.1400000000001</v>
      </c>
      <c r="E93" s="102">
        <v>1178.98</v>
      </c>
      <c r="F93" s="102">
        <v>1377.28</v>
      </c>
      <c r="G93" s="157">
        <v>1386.94</v>
      </c>
      <c r="H93" s="101">
        <v>1354.18</v>
      </c>
      <c r="I93" s="101">
        <v>1251.6600000000001</v>
      </c>
      <c r="J93" s="101">
        <v>1551.11</v>
      </c>
      <c r="K93" s="101">
        <v>1608.71</v>
      </c>
      <c r="L93" s="101">
        <v>1250.6400000000001</v>
      </c>
      <c r="M93" s="101">
        <v>1067.3599999999999</v>
      </c>
      <c r="N93" s="158">
        <v>1060.92</v>
      </c>
    </row>
    <row r="94" spans="1:15" s="13" customFormat="1" ht="26.25" thickBot="1" x14ac:dyDescent="0.25">
      <c r="A94" s="32"/>
      <c r="B94" s="186" t="s">
        <v>117</v>
      </c>
      <c r="C94" s="187">
        <v>1062840.8600000001</v>
      </c>
      <c r="D94" s="187">
        <v>1005852.64</v>
      </c>
      <c r="E94" s="100">
        <v>1061271.9099999999</v>
      </c>
      <c r="F94" s="100">
        <v>1054812.9099999999</v>
      </c>
      <c r="G94" s="192">
        <v>1225755.28</v>
      </c>
      <c r="H94" s="187">
        <v>1196033.42</v>
      </c>
      <c r="I94" s="187">
        <v>1199141.3</v>
      </c>
      <c r="J94" s="187">
        <v>1190677.68</v>
      </c>
      <c r="K94" s="187">
        <v>1191060.47</v>
      </c>
      <c r="L94" s="187">
        <v>1224563.2</v>
      </c>
      <c r="M94" s="187">
        <v>1233059.31</v>
      </c>
      <c r="N94" s="188">
        <v>1232300.3600000001</v>
      </c>
    </row>
    <row r="95" spans="1:15" ht="15" customHeight="1" x14ac:dyDescent="0.2"/>
    <row r="96" spans="1:15" ht="15" customHeight="1" x14ac:dyDescent="0.2"/>
    <row r="97" spans="1:15" ht="93" customHeight="1" x14ac:dyDescent="0.2">
      <c r="A97" s="200" t="s">
        <v>114</v>
      </c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69"/>
    </row>
    <row r="98" spans="1:15" ht="30" customHeight="1" x14ac:dyDescent="0.2">
      <c r="A98" s="199" t="s">
        <v>115</v>
      </c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</row>
  </sheetData>
  <mergeCells count="11">
    <mergeCell ref="D11:N11"/>
    <mergeCell ref="A2:N2"/>
    <mergeCell ref="A3:N3"/>
    <mergeCell ref="A4:N4"/>
    <mergeCell ref="A5:N5"/>
    <mergeCell ref="A7:N7"/>
    <mergeCell ref="D33:N33"/>
    <mergeCell ref="D55:N55"/>
    <mergeCell ref="D77:N77"/>
    <mergeCell ref="A97:N97"/>
    <mergeCell ref="A98:N98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21505" r:id="rId4">
          <objectPr defaultSize="0" autoPict="0" r:id="rId5">
            <anchor moveWithCells="1" sizeWithCells="1">
              <from>
                <xdr:col>1</xdr:col>
                <xdr:colOff>0</xdr:colOff>
                <xdr:row>95</xdr:row>
                <xdr:rowOff>0</xdr:rowOff>
              </from>
              <to>
                <xdr:col>1</xdr:col>
                <xdr:colOff>142875</xdr:colOff>
                <xdr:row>95</xdr:row>
                <xdr:rowOff>0</xdr:rowOff>
              </to>
            </anchor>
          </objectPr>
        </oleObject>
      </mc:Choice>
      <mc:Fallback>
        <oleObject progId="Equation.3" shapeId="21505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>
    <tabColor rgb="FF00FF99"/>
  </sheetPr>
  <dimension ref="A1:O15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93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5" s="58" customFormat="1" ht="34.5" customHeight="1" x14ac:dyDescent="0.25">
      <c r="A7" s="206" t="s">
        <v>63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79"/>
      <c r="C8" s="79"/>
      <c r="D8" s="79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98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73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4.25" customHeight="1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3" customFormat="1" ht="14.25" customHeight="1" x14ac:dyDescent="0.2">
      <c r="A13" s="80"/>
      <c r="B13" s="86" t="s">
        <v>61</v>
      </c>
      <c r="C13" s="155">
        <f>SUM(C14:C17)</f>
        <v>2351.5729999999999</v>
      </c>
      <c r="D13" s="155">
        <f t="shared" ref="D13:N13" si="0">SUM(D14:D17)</f>
        <v>2548.6529999999998</v>
      </c>
      <c r="E13" s="156">
        <f t="shared" si="0"/>
        <v>2557.3229999999999</v>
      </c>
      <c r="F13" s="156">
        <f t="shared" si="0"/>
        <v>2521.6529999999998</v>
      </c>
      <c r="G13" s="156">
        <f t="shared" si="0"/>
        <v>2499.4229999999998</v>
      </c>
      <c r="H13" s="156">
        <f t="shared" si="0"/>
        <v>2510.453</v>
      </c>
      <c r="I13" s="156">
        <f t="shared" si="0"/>
        <v>2766.123</v>
      </c>
      <c r="J13" s="156">
        <f t="shared" si="0"/>
        <v>2792.683</v>
      </c>
      <c r="K13" s="156">
        <f t="shared" si="0"/>
        <v>2741.433</v>
      </c>
      <c r="L13" s="156">
        <f t="shared" si="0"/>
        <v>2849.9235300365249</v>
      </c>
      <c r="M13" s="156">
        <f t="shared" si="0"/>
        <v>2902.803530036525</v>
      </c>
      <c r="N13" s="156">
        <f t="shared" si="0"/>
        <v>2853.9435300365249</v>
      </c>
      <c r="O13" s="61"/>
    </row>
    <row r="14" spans="1:15" s="13" customFormat="1" ht="15" customHeight="1" x14ac:dyDescent="0.2">
      <c r="A14" s="29"/>
      <c r="B14" s="89" t="s">
        <v>101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64</v>
      </c>
      <c r="C15" s="114">
        <v>80.58</v>
      </c>
      <c r="D15" s="114">
        <v>80.58</v>
      </c>
      <c r="E15" s="115">
        <v>80.58</v>
      </c>
      <c r="F15" s="115">
        <v>80.58</v>
      </c>
      <c r="G15" s="116">
        <v>80.58</v>
      </c>
      <c r="H15" s="114">
        <v>80.58</v>
      </c>
      <c r="I15" s="114">
        <v>80.58</v>
      </c>
      <c r="J15" s="114">
        <v>80.58</v>
      </c>
      <c r="K15" s="114">
        <v>80.58</v>
      </c>
      <c r="L15" s="114">
        <v>92.83</v>
      </c>
      <c r="M15" s="114">
        <v>92.83</v>
      </c>
      <c r="N15" s="117">
        <v>92.83</v>
      </c>
      <c r="O15" s="61"/>
    </row>
    <row r="16" spans="1:15" s="13" customFormat="1" ht="15" customHeight="1" x14ac:dyDescent="0.2">
      <c r="A16" s="29"/>
      <c r="B16" s="89" t="s">
        <v>9</v>
      </c>
      <c r="C16" s="114">
        <v>74.88</v>
      </c>
      <c r="D16" s="114">
        <v>74.88</v>
      </c>
      <c r="E16" s="115">
        <v>74.88</v>
      </c>
      <c r="F16" s="115">
        <v>74.88</v>
      </c>
      <c r="G16" s="116">
        <v>74.88</v>
      </c>
      <c r="H16" s="114">
        <v>74.88</v>
      </c>
      <c r="I16" s="114">
        <v>74.88</v>
      </c>
      <c r="J16" s="114">
        <v>74.88</v>
      </c>
      <c r="K16" s="114">
        <v>74.88</v>
      </c>
      <c r="L16" s="114">
        <v>125.04</v>
      </c>
      <c r="M16" s="114">
        <v>125.04</v>
      </c>
      <c r="N16" s="117">
        <v>125.04</v>
      </c>
      <c r="O16" s="61"/>
    </row>
    <row r="17" spans="1:15" s="13" customForma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82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9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18">
        <f t="shared" si="1"/>
        <v>1233361.28</v>
      </c>
    </row>
    <row r="19" spans="1:15" s="13" customFormat="1" ht="25.5" x14ac:dyDescent="0.2">
      <c r="A19" s="178"/>
      <c r="B19" s="91" t="s">
        <v>116</v>
      </c>
      <c r="C19" s="146">
        <v>850.58</v>
      </c>
      <c r="D19" s="146">
        <v>1150.1400000000001</v>
      </c>
      <c r="E19" s="99">
        <v>1178.98</v>
      </c>
      <c r="F19" s="99">
        <v>1377.28</v>
      </c>
      <c r="G19" s="147">
        <v>1386.94</v>
      </c>
      <c r="H19" s="146">
        <v>1354.18</v>
      </c>
      <c r="I19" s="146">
        <v>1251.6600000000001</v>
      </c>
      <c r="J19" s="146">
        <v>1551.11</v>
      </c>
      <c r="K19" s="146">
        <v>1608.71</v>
      </c>
      <c r="L19" s="146">
        <v>1250.6400000000001</v>
      </c>
      <c r="M19" s="146">
        <v>1067.3599999999999</v>
      </c>
      <c r="N19" s="158">
        <v>1060.92</v>
      </c>
    </row>
    <row r="20" spans="1:15" s="13" customFormat="1" ht="25.5" x14ac:dyDescent="0.2">
      <c r="A20" s="178"/>
      <c r="B20" s="90" t="s">
        <v>117</v>
      </c>
      <c r="C20" s="101">
        <v>1062840.8600000001</v>
      </c>
      <c r="D20" s="101">
        <v>1005852.64</v>
      </c>
      <c r="E20" s="102">
        <v>1061271.9099999999</v>
      </c>
      <c r="F20" s="102">
        <v>1054812.9099999999</v>
      </c>
      <c r="G20" s="157">
        <v>1225755.28</v>
      </c>
      <c r="H20" s="101">
        <v>1196033.42</v>
      </c>
      <c r="I20" s="101">
        <v>1199141.3</v>
      </c>
      <c r="J20" s="101">
        <v>1190677.68</v>
      </c>
      <c r="K20" s="101">
        <v>1191060.47</v>
      </c>
      <c r="L20" s="101">
        <v>1224563.2</v>
      </c>
      <c r="M20" s="101">
        <v>1233059.31</v>
      </c>
      <c r="N20" s="148">
        <v>1232300.3600000001</v>
      </c>
    </row>
    <row r="21" spans="1:15" s="13" customFormat="1" ht="26.25" thickBot="1" x14ac:dyDescent="0.25">
      <c r="A21" s="84"/>
      <c r="B21" s="191" t="s">
        <v>65</v>
      </c>
      <c r="C21" s="123">
        <v>685440.35</v>
      </c>
      <c r="D21" s="123">
        <v>685440.35</v>
      </c>
      <c r="E21" s="124">
        <v>685440.35</v>
      </c>
      <c r="F21" s="124">
        <v>685440.35</v>
      </c>
      <c r="G21" s="193">
        <v>685440.35</v>
      </c>
      <c r="H21" s="123">
        <v>685440.35</v>
      </c>
      <c r="I21" s="123">
        <v>685440.35</v>
      </c>
      <c r="J21" s="123">
        <v>685440.35</v>
      </c>
      <c r="K21" s="123">
        <v>685440.35</v>
      </c>
      <c r="L21" s="123">
        <v>789627.28</v>
      </c>
      <c r="M21" s="123">
        <v>789627.28</v>
      </c>
      <c r="N21" s="125">
        <v>789627.28</v>
      </c>
    </row>
    <row r="22" spans="1:15" s="13" customFormat="1" ht="26.25" thickBot="1" x14ac:dyDescent="0.25">
      <c r="A22" s="36" t="s">
        <v>10</v>
      </c>
      <c r="B22" s="37" t="s">
        <v>11</v>
      </c>
      <c r="C22" s="20"/>
      <c r="D22" s="20"/>
      <c r="E22" s="21"/>
      <c r="F22" s="21"/>
      <c r="G22" s="66"/>
      <c r="H22" s="20"/>
      <c r="I22" s="20"/>
      <c r="J22" s="20"/>
      <c r="K22" s="20"/>
      <c r="L22" s="20"/>
      <c r="M22" s="20"/>
      <c r="N22" s="55"/>
    </row>
    <row r="23" spans="1:15" s="13" customFormat="1" ht="14.25" customHeight="1" x14ac:dyDescent="0.2">
      <c r="A23" s="85"/>
      <c r="B23" s="88" t="s">
        <v>61</v>
      </c>
      <c r="C23" s="159">
        <f>SUM(C24:C26)</f>
        <v>2270.9929999999999</v>
      </c>
      <c r="D23" s="159">
        <f t="shared" ref="D23:N23" si="2">SUM(D24:D26)</f>
        <v>2468.0729999999999</v>
      </c>
      <c r="E23" s="160">
        <f t="shared" si="2"/>
        <v>2476.7429999999999</v>
      </c>
      <c r="F23" s="160">
        <f t="shared" si="2"/>
        <v>2441.0729999999999</v>
      </c>
      <c r="G23" s="160">
        <f t="shared" si="2"/>
        <v>2418.8429999999998</v>
      </c>
      <c r="H23" s="160">
        <f t="shared" si="2"/>
        <v>2429.873</v>
      </c>
      <c r="I23" s="160">
        <f t="shared" si="2"/>
        <v>2685.5430000000001</v>
      </c>
      <c r="J23" s="160">
        <f t="shared" si="2"/>
        <v>2712.1030000000001</v>
      </c>
      <c r="K23" s="160">
        <f t="shared" si="2"/>
        <v>2660.8530000000001</v>
      </c>
      <c r="L23" s="160">
        <f t="shared" si="2"/>
        <v>2757.093530036525</v>
      </c>
      <c r="M23" s="160">
        <f t="shared" si="2"/>
        <v>2809.9735300365251</v>
      </c>
      <c r="N23" s="161">
        <f t="shared" si="2"/>
        <v>2761.1135300365249</v>
      </c>
    </row>
    <row r="24" spans="1:15" s="13" customFormat="1" ht="15" customHeight="1" x14ac:dyDescent="0.2">
      <c r="A24" s="25"/>
      <c r="B24" s="89" t="s">
        <v>101</v>
      </c>
      <c r="C24" s="101">
        <v>2190.75</v>
      </c>
      <c r="D24" s="101">
        <v>2387.83</v>
      </c>
      <c r="E24" s="102">
        <v>2396.5</v>
      </c>
      <c r="F24" s="102">
        <v>2360.83</v>
      </c>
      <c r="G24" s="157">
        <v>2338.6</v>
      </c>
      <c r="H24" s="101">
        <v>2349.63</v>
      </c>
      <c r="I24" s="101">
        <v>2605.3000000000002</v>
      </c>
      <c r="J24" s="101">
        <v>2631.86</v>
      </c>
      <c r="K24" s="101">
        <v>2580.61</v>
      </c>
      <c r="L24" s="101">
        <v>2625.93</v>
      </c>
      <c r="M24" s="101">
        <v>2678.81</v>
      </c>
      <c r="N24" s="158">
        <v>2629.95</v>
      </c>
    </row>
    <row r="25" spans="1:15" s="13" customFormat="1" ht="15" customHeight="1" x14ac:dyDescent="0.2">
      <c r="A25" s="40"/>
      <c r="B25" s="90" t="s">
        <v>9</v>
      </c>
      <c r="C25" s="114">
        <v>74.88</v>
      </c>
      <c r="D25" s="114">
        <v>74.88</v>
      </c>
      <c r="E25" s="115">
        <v>74.88</v>
      </c>
      <c r="F25" s="115">
        <v>74.88</v>
      </c>
      <c r="G25" s="121">
        <v>74.88</v>
      </c>
      <c r="H25" s="115">
        <v>74.88</v>
      </c>
      <c r="I25" s="115">
        <v>74.88</v>
      </c>
      <c r="J25" s="115">
        <v>74.88</v>
      </c>
      <c r="K25" s="115">
        <v>74.88</v>
      </c>
      <c r="L25" s="115">
        <v>125.04</v>
      </c>
      <c r="M25" s="115">
        <v>125.04</v>
      </c>
      <c r="N25" s="122">
        <v>125.04</v>
      </c>
    </row>
    <row r="26" spans="1:15" s="13" customFormat="1" ht="15" customHeight="1" x14ac:dyDescent="0.2">
      <c r="A26" s="81"/>
      <c r="B26" s="91" t="s">
        <v>42</v>
      </c>
      <c r="C26" s="106">
        <f>C17</f>
        <v>5.3629999999999995</v>
      </c>
      <c r="D26" s="106">
        <f t="shared" ref="D26:N26" si="3">D17</f>
        <v>5.3629999999999995</v>
      </c>
      <c r="E26" s="107">
        <f t="shared" si="3"/>
        <v>5.3629999999999995</v>
      </c>
      <c r="F26" s="107">
        <f t="shared" si="3"/>
        <v>5.3629999999999995</v>
      </c>
      <c r="G26" s="108">
        <f t="shared" si="3"/>
        <v>5.3629999999999995</v>
      </c>
      <c r="H26" s="106">
        <f t="shared" si="3"/>
        <v>5.3629999999999995</v>
      </c>
      <c r="I26" s="106">
        <f t="shared" si="3"/>
        <v>5.3629999999999995</v>
      </c>
      <c r="J26" s="106">
        <f t="shared" si="3"/>
        <v>5.3629999999999995</v>
      </c>
      <c r="K26" s="106">
        <f t="shared" si="3"/>
        <v>5.3629999999999995</v>
      </c>
      <c r="L26" s="106">
        <f t="shared" si="3"/>
        <v>6.1235300365250511</v>
      </c>
      <c r="M26" s="106">
        <f t="shared" si="3"/>
        <v>6.1235300365250511</v>
      </c>
      <c r="N26" s="109">
        <f t="shared" si="3"/>
        <v>6.1235300365250511</v>
      </c>
    </row>
    <row r="27" spans="1:15" s="13" customFormat="1" ht="25.5" x14ac:dyDescent="0.2">
      <c r="A27" s="81"/>
      <c r="B27" s="87" t="s">
        <v>118</v>
      </c>
      <c r="C27" s="118">
        <f>SUM(C28:C29)</f>
        <v>1063691.4400000002</v>
      </c>
      <c r="D27" s="118">
        <f t="shared" ref="D27:N27" si="4">SUM(D28:D29)</f>
        <v>1007002.78</v>
      </c>
      <c r="E27" s="126">
        <f t="shared" si="4"/>
        <v>1062450.8899999999</v>
      </c>
      <c r="F27" s="126">
        <f t="shared" si="4"/>
        <v>1056190.19</v>
      </c>
      <c r="G27" s="118">
        <f t="shared" si="4"/>
        <v>1227142.22</v>
      </c>
      <c r="H27" s="118">
        <f t="shared" si="4"/>
        <v>1197387.5999999999</v>
      </c>
      <c r="I27" s="118">
        <f t="shared" si="4"/>
        <v>1200392.96</v>
      </c>
      <c r="J27" s="118">
        <f t="shared" si="4"/>
        <v>1192228.79</v>
      </c>
      <c r="K27" s="118">
        <f t="shared" si="4"/>
        <v>1192669.18</v>
      </c>
      <c r="L27" s="118">
        <f t="shared" si="4"/>
        <v>1225813.8399999999</v>
      </c>
      <c r="M27" s="118">
        <f t="shared" si="4"/>
        <v>1234126.6700000002</v>
      </c>
      <c r="N27" s="127">
        <f t="shared" si="4"/>
        <v>1233361.28</v>
      </c>
    </row>
    <row r="28" spans="1:15" s="13" customFormat="1" ht="25.5" x14ac:dyDescent="0.2">
      <c r="A28" s="81"/>
      <c r="B28" s="91" t="s">
        <v>116</v>
      </c>
      <c r="C28" s="101">
        <v>850.58</v>
      </c>
      <c r="D28" s="101">
        <v>1150.1400000000001</v>
      </c>
      <c r="E28" s="102">
        <v>1178.98</v>
      </c>
      <c r="F28" s="102">
        <v>1377.28</v>
      </c>
      <c r="G28" s="157">
        <v>1386.94</v>
      </c>
      <c r="H28" s="101">
        <v>1354.18</v>
      </c>
      <c r="I28" s="101">
        <v>1251.6600000000001</v>
      </c>
      <c r="J28" s="101">
        <v>1551.11</v>
      </c>
      <c r="K28" s="101">
        <v>1608.71</v>
      </c>
      <c r="L28" s="101">
        <v>1250.6400000000001</v>
      </c>
      <c r="M28" s="101">
        <v>1067.3599999999999</v>
      </c>
      <c r="N28" s="158">
        <v>1060.92</v>
      </c>
    </row>
    <row r="29" spans="1:15" s="13" customFormat="1" ht="26.25" thickBot="1" x14ac:dyDescent="0.25">
      <c r="A29" s="32"/>
      <c r="B29" s="186" t="s">
        <v>117</v>
      </c>
      <c r="C29" s="187">
        <v>1062840.8600000001</v>
      </c>
      <c r="D29" s="187">
        <v>1005852.64</v>
      </c>
      <c r="E29" s="100">
        <v>1061271.9099999999</v>
      </c>
      <c r="F29" s="100">
        <v>1054812.9099999999</v>
      </c>
      <c r="G29" s="192">
        <v>1225755.28</v>
      </c>
      <c r="H29" s="187">
        <v>1196033.42</v>
      </c>
      <c r="I29" s="187">
        <v>1199141.3</v>
      </c>
      <c r="J29" s="187">
        <v>1190677.68</v>
      </c>
      <c r="K29" s="187">
        <v>1191060.47</v>
      </c>
      <c r="L29" s="187">
        <v>1224563.2</v>
      </c>
      <c r="M29" s="187">
        <v>1233059.31</v>
      </c>
      <c r="N29" s="188">
        <v>1232300.3600000001</v>
      </c>
    </row>
    <row r="30" spans="1:15" s="13" customFormat="1" ht="15" thickBot="1" x14ac:dyDescent="0.25">
      <c r="A30" s="36" t="s">
        <v>89</v>
      </c>
      <c r="B30" s="37" t="s">
        <v>66</v>
      </c>
      <c r="C30" s="20"/>
      <c r="D30" s="20"/>
      <c r="E30" s="21"/>
      <c r="F30" s="21"/>
      <c r="G30" s="66"/>
      <c r="H30" s="20"/>
      <c r="I30" s="20"/>
      <c r="J30" s="20"/>
      <c r="K30" s="20"/>
      <c r="L30" s="20"/>
      <c r="M30" s="20"/>
      <c r="N30" s="55"/>
    </row>
    <row r="31" spans="1:15" s="13" customFormat="1" ht="14.25" customHeight="1" x14ac:dyDescent="0.2">
      <c r="A31" s="85"/>
      <c r="B31" s="88" t="s">
        <v>61</v>
      </c>
      <c r="C31" s="159">
        <f>SUM(C32:C34)</f>
        <v>2270.9929999999999</v>
      </c>
      <c r="D31" s="159">
        <f t="shared" ref="D31:N31" si="5">SUM(D32:D34)</f>
        <v>2468.0729999999999</v>
      </c>
      <c r="E31" s="160">
        <f t="shared" si="5"/>
        <v>2476.7429999999999</v>
      </c>
      <c r="F31" s="160">
        <f t="shared" si="5"/>
        <v>2441.0729999999999</v>
      </c>
      <c r="G31" s="160">
        <f t="shared" si="5"/>
        <v>2418.8429999999998</v>
      </c>
      <c r="H31" s="160">
        <f t="shared" si="5"/>
        <v>2429.873</v>
      </c>
      <c r="I31" s="160">
        <f t="shared" si="5"/>
        <v>2685.5430000000001</v>
      </c>
      <c r="J31" s="160">
        <f t="shared" si="5"/>
        <v>2712.1030000000001</v>
      </c>
      <c r="K31" s="160">
        <f t="shared" si="5"/>
        <v>2660.8530000000001</v>
      </c>
      <c r="L31" s="160">
        <f t="shared" si="5"/>
        <v>2757.093530036525</v>
      </c>
      <c r="M31" s="160">
        <f t="shared" si="5"/>
        <v>2809.9735300365251</v>
      </c>
      <c r="N31" s="161">
        <f t="shared" si="5"/>
        <v>2761.1135300365249</v>
      </c>
    </row>
    <row r="32" spans="1:15" s="13" customFormat="1" x14ac:dyDescent="0.2">
      <c r="A32" s="25"/>
      <c r="B32" s="89" t="s">
        <v>101</v>
      </c>
      <c r="C32" s="101">
        <v>2190.75</v>
      </c>
      <c r="D32" s="101">
        <v>2387.83</v>
      </c>
      <c r="E32" s="102">
        <v>2396.5</v>
      </c>
      <c r="F32" s="102">
        <v>2360.83</v>
      </c>
      <c r="G32" s="157">
        <v>2338.6</v>
      </c>
      <c r="H32" s="101">
        <v>2349.63</v>
      </c>
      <c r="I32" s="101">
        <v>2605.3000000000002</v>
      </c>
      <c r="J32" s="101">
        <v>2631.86</v>
      </c>
      <c r="K32" s="101">
        <v>2580.61</v>
      </c>
      <c r="L32" s="101">
        <v>2625.93</v>
      </c>
      <c r="M32" s="101">
        <v>2678.81</v>
      </c>
      <c r="N32" s="158">
        <v>2629.95</v>
      </c>
    </row>
    <row r="33" spans="1:15" s="13" customFormat="1" x14ac:dyDescent="0.2">
      <c r="A33" s="40"/>
      <c r="B33" s="90" t="s">
        <v>9</v>
      </c>
      <c r="C33" s="114">
        <v>74.88</v>
      </c>
      <c r="D33" s="114">
        <v>74.88</v>
      </c>
      <c r="E33" s="115">
        <v>74.88</v>
      </c>
      <c r="F33" s="115">
        <v>74.88</v>
      </c>
      <c r="G33" s="121">
        <v>74.88</v>
      </c>
      <c r="H33" s="115">
        <v>74.88</v>
      </c>
      <c r="I33" s="115">
        <v>74.88</v>
      </c>
      <c r="J33" s="115">
        <v>74.88</v>
      </c>
      <c r="K33" s="115">
        <v>74.88</v>
      </c>
      <c r="L33" s="115">
        <v>125.04</v>
      </c>
      <c r="M33" s="115">
        <v>125.04</v>
      </c>
      <c r="N33" s="122">
        <v>125.04</v>
      </c>
    </row>
    <row r="34" spans="1:15" s="13" customFormat="1" x14ac:dyDescent="0.2">
      <c r="A34" s="81"/>
      <c r="B34" s="91" t="s">
        <v>42</v>
      </c>
      <c r="C34" s="106">
        <f t="shared" ref="C34:N34" si="6">C17</f>
        <v>5.3629999999999995</v>
      </c>
      <c r="D34" s="106">
        <f t="shared" si="6"/>
        <v>5.3629999999999995</v>
      </c>
      <c r="E34" s="107">
        <f t="shared" si="6"/>
        <v>5.3629999999999995</v>
      </c>
      <c r="F34" s="107">
        <f t="shared" si="6"/>
        <v>5.3629999999999995</v>
      </c>
      <c r="G34" s="108">
        <f t="shared" si="6"/>
        <v>5.3629999999999995</v>
      </c>
      <c r="H34" s="106">
        <f t="shared" si="6"/>
        <v>5.3629999999999995</v>
      </c>
      <c r="I34" s="106">
        <f t="shared" si="6"/>
        <v>5.3629999999999995</v>
      </c>
      <c r="J34" s="106">
        <f t="shared" si="6"/>
        <v>5.3629999999999995</v>
      </c>
      <c r="K34" s="106">
        <f t="shared" si="6"/>
        <v>5.3629999999999995</v>
      </c>
      <c r="L34" s="106">
        <f t="shared" si="6"/>
        <v>6.1235300365250511</v>
      </c>
      <c r="M34" s="106">
        <f t="shared" si="6"/>
        <v>6.1235300365250511</v>
      </c>
      <c r="N34" s="109">
        <f t="shared" si="6"/>
        <v>6.1235300365250511</v>
      </c>
    </row>
    <row r="35" spans="1:15" s="13" customFormat="1" ht="25.5" x14ac:dyDescent="0.2">
      <c r="A35" s="81"/>
      <c r="B35" s="87" t="s">
        <v>118</v>
      </c>
      <c r="C35" s="118">
        <f>SUM(C36:C37)</f>
        <v>1063691.4400000002</v>
      </c>
      <c r="D35" s="118">
        <f t="shared" ref="D35:N35" si="7">SUM(D36:D37)</f>
        <v>1007002.78</v>
      </c>
      <c r="E35" s="126">
        <f t="shared" si="7"/>
        <v>1062450.8899999999</v>
      </c>
      <c r="F35" s="126">
        <f t="shared" si="7"/>
        <v>1056190.19</v>
      </c>
      <c r="G35" s="118">
        <f t="shared" si="7"/>
        <v>1227142.22</v>
      </c>
      <c r="H35" s="118">
        <f t="shared" si="7"/>
        <v>1197387.5999999999</v>
      </c>
      <c r="I35" s="118">
        <f t="shared" si="7"/>
        <v>1200392.96</v>
      </c>
      <c r="J35" s="118">
        <f t="shared" si="7"/>
        <v>1192228.79</v>
      </c>
      <c r="K35" s="118">
        <f t="shared" si="7"/>
        <v>1192669.18</v>
      </c>
      <c r="L35" s="118">
        <f t="shared" si="7"/>
        <v>1225813.8399999999</v>
      </c>
      <c r="M35" s="118">
        <f t="shared" si="7"/>
        <v>1234126.6700000002</v>
      </c>
      <c r="N35" s="127">
        <f t="shared" si="7"/>
        <v>1233361.28</v>
      </c>
    </row>
    <row r="36" spans="1:15" s="13" customFormat="1" ht="25.5" x14ac:dyDescent="0.2">
      <c r="A36" s="81"/>
      <c r="B36" s="91" t="s">
        <v>116</v>
      </c>
      <c r="C36" s="101">
        <v>850.58</v>
      </c>
      <c r="D36" s="101">
        <v>1150.1400000000001</v>
      </c>
      <c r="E36" s="102">
        <v>1178.98</v>
      </c>
      <c r="F36" s="102">
        <v>1377.28</v>
      </c>
      <c r="G36" s="157">
        <v>1386.94</v>
      </c>
      <c r="H36" s="101">
        <v>1354.18</v>
      </c>
      <c r="I36" s="101">
        <v>1251.6600000000001</v>
      </c>
      <c r="J36" s="101">
        <v>1551.11</v>
      </c>
      <c r="K36" s="101">
        <v>1608.71</v>
      </c>
      <c r="L36" s="101">
        <v>1250.6400000000001</v>
      </c>
      <c r="M36" s="101">
        <v>1067.3599999999999</v>
      </c>
      <c r="N36" s="158">
        <v>1060.92</v>
      </c>
    </row>
    <row r="37" spans="1:15" s="13" customFormat="1" ht="25.5" x14ac:dyDescent="0.2">
      <c r="A37" s="25"/>
      <c r="B37" s="90" t="s">
        <v>117</v>
      </c>
      <c r="C37" s="146">
        <v>1062840.8600000001</v>
      </c>
      <c r="D37" s="146">
        <v>1005852.64</v>
      </c>
      <c r="E37" s="99">
        <v>1061271.9099999999</v>
      </c>
      <c r="F37" s="99">
        <v>1054812.9099999999</v>
      </c>
      <c r="G37" s="147">
        <v>1225755.28</v>
      </c>
      <c r="H37" s="146">
        <v>1196033.42</v>
      </c>
      <c r="I37" s="146">
        <v>1199141.3</v>
      </c>
      <c r="J37" s="146">
        <v>1190677.68</v>
      </c>
      <c r="K37" s="146">
        <v>1191060.47</v>
      </c>
      <c r="L37" s="146">
        <v>1224563.2</v>
      </c>
      <c r="M37" s="146">
        <v>1233059.31</v>
      </c>
      <c r="N37" s="185">
        <v>1232300.3600000001</v>
      </c>
    </row>
    <row r="38" spans="1:15" s="13" customFormat="1" ht="26.25" thickBot="1" x14ac:dyDescent="0.25">
      <c r="A38" s="41"/>
      <c r="B38" s="93" t="s">
        <v>65</v>
      </c>
      <c r="C38" s="129">
        <f>C21</f>
        <v>685440.35</v>
      </c>
      <c r="D38" s="129">
        <f t="shared" ref="D38:N38" si="8">D21</f>
        <v>685440.35</v>
      </c>
      <c r="E38" s="130">
        <f t="shared" si="8"/>
        <v>685440.35</v>
      </c>
      <c r="F38" s="130">
        <f t="shared" si="8"/>
        <v>685440.35</v>
      </c>
      <c r="G38" s="133">
        <f t="shared" si="8"/>
        <v>685440.35</v>
      </c>
      <c r="H38" s="129">
        <f t="shared" si="8"/>
        <v>685440.35</v>
      </c>
      <c r="I38" s="129">
        <f t="shared" si="8"/>
        <v>685440.35</v>
      </c>
      <c r="J38" s="129">
        <f t="shared" si="8"/>
        <v>685440.35</v>
      </c>
      <c r="K38" s="129">
        <f t="shared" si="8"/>
        <v>685440.35</v>
      </c>
      <c r="L38" s="129">
        <f t="shared" si="8"/>
        <v>789627.28</v>
      </c>
      <c r="M38" s="129">
        <f t="shared" si="8"/>
        <v>789627.28</v>
      </c>
      <c r="N38" s="125">
        <f t="shared" si="8"/>
        <v>789627.28</v>
      </c>
    </row>
    <row r="39" spans="1:15" s="17" customFormat="1" ht="26.25" thickBot="1" x14ac:dyDescent="0.25">
      <c r="A39" s="18" t="s">
        <v>90</v>
      </c>
      <c r="B39" s="78" t="s">
        <v>68</v>
      </c>
      <c r="C39" s="20"/>
      <c r="D39" s="20"/>
      <c r="E39" s="21"/>
      <c r="F39" s="21"/>
      <c r="G39" s="63"/>
      <c r="H39" s="21"/>
      <c r="I39" s="21"/>
      <c r="J39" s="21"/>
      <c r="K39" s="21"/>
      <c r="L39" s="21"/>
      <c r="M39" s="21"/>
      <c r="N39" s="22"/>
      <c r="O39" s="61"/>
    </row>
    <row r="40" spans="1:15" s="13" customFormat="1" ht="14.25" customHeight="1" x14ac:dyDescent="0.2">
      <c r="A40" s="80"/>
      <c r="B40" s="86" t="s">
        <v>61</v>
      </c>
      <c r="C40" s="155">
        <f>SUM(C41:C44)</f>
        <v>2370.0978570849998</v>
      </c>
      <c r="D40" s="155">
        <f t="shared" ref="D40:N40" si="9">SUM(D41:D44)</f>
        <v>2567.1778570849997</v>
      </c>
      <c r="E40" s="156">
        <f t="shared" si="9"/>
        <v>2575.8478570849998</v>
      </c>
      <c r="F40" s="156">
        <f t="shared" si="9"/>
        <v>2540.1778570849997</v>
      </c>
      <c r="G40" s="156">
        <f t="shared" si="9"/>
        <v>2517.9478570849997</v>
      </c>
      <c r="H40" s="156">
        <f t="shared" si="9"/>
        <v>2528.9778570849999</v>
      </c>
      <c r="I40" s="156">
        <f t="shared" si="9"/>
        <v>2784.6478570849999</v>
      </c>
      <c r="J40" s="156">
        <f t="shared" si="9"/>
        <v>2811.2078570849999</v>
      </c>
      <c r="K40" s="156">
        <f t="shared" si="9"/>
        <v>2759.9578570849999</v>
      </c>
      <c r="L40" s="156">
        <f t="shared" si="9"/>
        <v>2872.0551560365247</v>
      </c>
      <c r="M40" s="156">
        <f t="shared" si="9"/>
        <v>2924.9351560365249</v>
      </c>
      <c r="N40" s="156">
        <f t="shared" si="9"/>
        <v>2876.0751560365247</v>
      </c>
      <c r="O40" s="61"/>
    </row>
    <row r="41" spans="1:15" s="13" customFormat="1" ht="15" customHeight="1" x14ac:dyDescent="0.2">
      <c r="A41" s="29"/>
      <c r="B41" s="89" t="s">
        <v>101</v>
      </c>
      <c r="C41" s="101">
        <v>2190.75</v>
      </c>
      <c r="D41" s="101">
        <v>2387.83</v>
      </c>
      <c r="E41" s="102">
        <v>2396.5</v>
      </c>
      <c r="F41" s="102">
        <v>2360.83</v>
      </c>
      <c r="G41" s="157">
        <v>2338.6</v>
      </c>
      <c r="H41" s="101">
        <v>2349.63</v>
      </c>
      <c r="I41" s="101">
        <v>2605.3000000000002</v>
      </c>
      <c r="J41" s="101">
        <v>2631.86</v>
      </c>
      <c r="K41" s="101">
        <v>2580.61</v>
      </c>
      <c r="L41" s="101">
        <v>2625.93</v>
      </c>
      <c r="M41" s="101">
        <v>2678.81</v>
      </c>
      <c r="N41" s="158">
        <v>2629.95</v>
      </c>
      <c r="O41" s="61"/>
    </row>
    <row r="42" spans="1:15" s="13" customFormat="1" ht="15" customHeight="1" x14ac:dyDescent="0.2">
      <c r="A42" s="25"/>
      <c r="B42" s="90" t="s">
        <v>64</v>
      </c>
      <c r="C42" s="114">
        <v>99.104857084999992</v>
      </c>
      <c r="D42" s="114">
        <v>99.104857084999992</v>
      </c>
      <c r="E42" s="115">
        <v>99.104857084999992</v>
      </c>
      <c r="F42" s="115">
        <v>99.104857084999992</v>
      </c>
      <c r="G42" s="116">
        <v>99.104857084999992</v>
      </c>
      <c r="H42" s="114">
        <v>99.104857084999992</v>
      </c>
      <c r="I42" s="114">
        <v>99.104857084999992</v>
      </c>
      <c r="J42" s="114">
        <v>99.104857084999992</v>
      </c>
      <c r="K42" s="114">
        <v>99.104857084999992</v>
      </c>
      <c r="L42" s="114">
        <v>114.961626</v>
      </c>
      <c r="M42" s="114">
        <v>114.961626</v>
      </c>
      <c r="N42" s="117">
        <v>114.961626</v>
      </c>
      <c r="O42" s="61"/>
    </row>
    <row r="43" spans="1:15" s="13" customFormat="1" ht="15" customHeight="1" x14ac:dyDescent="0.2">
      <c r="A43" s="29"/>
      <c r="B43" s="89" t="s">
        <v>9</v>
      </c>
      <c r="C43" s="114">
        <v>74.88</v>
      </c>
      <c r="D43" s="114">
        <v>74.88</v>
      </c>
      <c r="E43" s="115">
        <v>74.88</v>
      </c>
      <c r="F43" s="115">
        <v>74.88</v>
      </c>
      <c r="G43" s="116">
        <v>74.88</v>
      </c>
      <c r="H43" s="114">
        <v>74.88</v>
      </c>
      <c r="I43" s="114">
        <v>74.88</v>
      </c>
      <c r="J43" s="114">
        <v>74.88</v>
      </c>
      <c r="K43" s="114">
        <v>74.88</v>
      </c>
      <c r="L43" s="114">
        <v>125.04</v>
      </c>
      <c r="M43" s="114">
        <v>125.04</v>
      </c>
      <c r="N43" s="117">
        <v>125.04</v>
      </c>
      <c r="O43" s="61"/>
    </row>
    <row r="44" spans="1:15" s="13" customFormat="1" x14ac:dyDescent="0.2">
      <c r="A44" s="81"/>
      <c r="B44" s="91" t="s">
        <v>42</v>
      </c>
      <c r="C44" s="106">
        <v>5.3629999999999995</v>
      </c>
      <c r="D44" s="106">
        <v>5.3629999999999995</v>
      </c>
      <c r="E44" s="107">
        <v>5.3629999999999995</v>
      </c>
      <c r="F44" s="107">
        <v>5.3629999999999995</v>
      </c>
      <c r="G44" s="108">
        <v>5.3629999999999995</v>
      </c>
      <c r="H44" s="106">
        <v>5.3629999999999995</v>
      </c>
      <c r="I44" s="106">
        <v>5.3629999999999995</v>
      </c>
      <c r="J44" s="106">
        <v>5.3629999999999995</v>
      </c>
      <c r="K44" s="106">
        <v>5.3629999999999995</v>
      </c>
      <c r="L44" s="106">
        <v>6.1235300365250511</v>
      </c>
      <c r="M44" s="106">
        <v>6.1235300365250511</v>
      </c>
      <c r="N44" s="109">
        <v>6.1235300365250511</v>
      </c>
      <c r="O44" s="61"/>
    </row>
    <row r="45" spans="1:15" s="13" customFormat="1" ht="25.5" x14ac:dyDescent="0.2">
      <c r="A45" s="82"/>
      <c r="B45" s="87" t="s">
        <v>118</v>
      </c>
      <c r="C45" s="118">
        <f>SUM(C46:C47)</f>
        <v>1063691.4400000002</v>
      </c>
      <c r="D45" s="118">
        <f t="shared" ref="D45:N45" si="10">SUM(D46:D47)</f>
        <v>1007002.78</v>
      </c>
      <c r="E45" s="126">
        <f t="shared" si="10"/>
        <v>1062450.8899999999</v>
      </c>
      <c r="F45" s="126">
        <f t="shared" si="10"/>
        <v>1056190.19</v>
      </c>
      <c r="G45" s="118">
        <f t="shared" si="10"/>
        <v>1227142.22</v>
      </c>
      <c r="H45" s="118">
        <f t="shared" si="10"/>
        <v>1197387.5999999999</v>
      </c>
      <c r="I45" s="118">
        <f t="shared" si="10"/>
        <v>1200392.96</v>
      </c>
      <c r="J45" s="118">
        <f t="shared" si="10"/>
        <v>1192228.79</v>
      </c>
      <c r="K45" s="118">
        <f t="shared" si="10"/>
        <v>1192669.18</v>
      </c>
      <c r="L45" s="118">
        <f t="shared" si="10"/>
        <v>1225813.8399999999</v>
      </c>
      <c r="M45" s="118">
        <f t="shared" si="10"/>
        <v>1234126.6700000002</v>
      </c>
      <c r="N45" s="127">
        <f t="shared" si="10"/>
        <v>1233361.28</v>
      </c>
    </row>
    <row r="46" spans="1:15" s="13" customFormat="1" ht="25.5" x14ac:dyDescent="0.2">
      <c r="A46" s="178"/>
      <c r="B46" s="91" t="s">
        <v>116</v>
      </c>
      <c r="C46" s="101">
        <v>850.58</v>
      </c>
      <c r="D46" s="101">
        <v>1150.1400000000001</v>
      </c>
      <c r="E46" s="102">
        <v>1178.98</v>
      </c>
      <c r="F46" s="102">
        <v>1377.28</v>
      </c>
      <c r="G46" s="157">
        <v>1386.94</v>
      </c>
      <c r="H46" s="101">
        <v>1354.18</v>
      </c>
      <c r="I46" s="101">
        <v>1251.6600000000001</v>
      </c>
      <c r="J46" s="101">
        <v>1551.11</v>
      </c>
      <c r="K46" s="101">
        <v>1608.71</v>
      </c>
      <c r="L46" s="101">
        <v>1250.6400000000001</v>
      </c>
      <c r="M46" s="101">
        <v>1067.3599999999999</v>
      </c>
      <c r="N46" s="158">
        <v>1060.92</v>
      </c>
    </row>
    <row r="47" spans="1:15" s="13" customFormat="1" ht="25.5" x14ac:dyDescent="0.2">
      <c r="A47" s="178"/>
      <c r="B47" s="90" t="s">
        <v>117</v>
      </c>
      <c r="C47" s="146">
        <v>1062840.8600000001</v>
      </c>
      <c r="D47" s="146">
        <v>1005852.64</v>
      </c>
      <c r="E47" s="99">
        <v>1061271.9099999999</v>
      </c>
      <c r="F47" s="99">
        <v>1054812.9099999999</v>
      </c>
      <c r="G47" s="147">
        <v>1225755.28</v>
      </c>
      <c r="H47" s="146">
        <v>1196033.42</v>
      </c>
      <c r="I47" s="146">
        <v>1199141.3</v>
      </c>
      <c r="J47" s="146">
        <v>1190677.68</v>
      </c>
      <c r="K47" s="146">
        <v>1191060.47</v>
      </c>
      <c r="L47" s="146">
        <v>1224563.2</v>
      </c>
      <c r="M47" s="146">
        <v>1233059.31</v>
      </c>
      <c r="N47" s="148">
        <v>1232300.3600000001</v>
      </c>
    </row>
    <row r="48" spans="1:15" s="13" customFormat="1" ht="26.25" thickBot="1" x14ac:dyDescent="0.25">
      <c r="A48" s="84"/>
      <c r="B48" s="191" t="s">
        <v>65</v>
      </c>
      <c r="C48" s="128">
        <v>322592.31</v>
      </c>
      <c r="D48" s="129">
        <v>322592.31</v>
      </c>
      <c r="E48" s="130">
        <v>322592.31</v>
      </c>
      <c r="F48" s="130">
        <v>322592.31</v>
      </c>
      <c r="G48" s="131">
        <v>322592.31</v>
      </c>
      <c r="H48" s="128">
        <v>322592.31</v>
      </c>
      <c r="I48" s="129">
        <v>322592.31</v>
      </c>
      <c r="J48" s="128">
        <v>322592.31</v>
      </c>
      <c r="K48" s="129">
        <v>322592.31</v>
      </c>
      <c r="L48" s="128">
        <v>374207.08</v>
      </c>
      <c r="M48" s="129">
        <v>374207.08</v>
      </c>
      <c r="N48" s="125">
        <v>374207.08</v>
      </c>
    </row>
    <row r="49" spans="1:15" s="17" customFormat="1" ht="26.25" thickBot="1" x14ac:dyDescent="0.25">
      <c r="A49" s="18" t="s">
        <v>91</v>
      </c>
      <c r="B49" s="78" t="s">
        <v>69</v>
      </c>
      <c r="C49" s="20"/>
      <c r="D49" s="20"/>
      <c r="E49" s="21"/>
      <c r="F49" s="21"/>
      <c r="G49" s="63"/>
      <c r="H49" s="21"/>
      <c r="I49" s="21"/>
      <c r="J49" s="21"/>
      <c r="K49" s="21"/>
      <c r="L49" s="21"/>
      <c r="M49" s="21"/>
      <c r="N49" s="22"/>
      <c r="O49" s="61"/>
    </row>
    <row r="50" spans="1:15" s="13" customFormat="1" ht="14.25" customHeight="1" x14ac:dyDescent="0.2">
      <c r="A50" s="83"/>
      <c r="B50" s="86" t="s">
        <v>61</v>
      </c>
      <c r="C50" s="155">
        <f>SUM(C51:C54)</f>
        <v>2335.3980132249999</v>
      </c>
      <c r="D50" s="155">
        <f t="shared" ref="D50:N50" si="11">SUM(D51:D54)</f>
        <v>2532.4780132249998</v>
      </c>
      <c r="E50" s="156">
        <f t="shared" si="11"/>
        <v>2541.1480132249999</v>
      </c>
      <c r="F50" s="156">
        <f t="shared" si="11"/>
        <v>2505.4780132249998</v>
      </c>
      <c r="G50" s="156">
        <f t="shared" si="11"/>
        <v>2483.2480132249998</v>
      </c>
      <c r="H50" s="156">
        <f t="shared" si="11"/>
        <v>2494.278013225</v>
      </c>
      <c r="I50" s="156">
        <f t="shared" si="11"/>
        <v>2749.9480132250001</v>
      </c>
      <c r="J50" s="156">
        <f t="shared" si="11"/>
        <v>2776.508013225</v>
      </c>
      <c r="K50" s="156">
        <f t="shared" si="11"/>
        <v>2725.258013225</v>
      </c>
      <c r="L50" s="156">
        <f t="shared" si="11"/>
        <v>2831.8033400365248</v>
      </c>
      <c r="M50" s="156">
        <f t="shared" si="11"/>
        <v>2884.6833400365249</v>
      </c>
      <c r="N50" s="162">
        <f t="shared" si="11"/>
        <v>2835.8233400365248</v>
      </c>
      <c r="O50" s="61"/>
    </row>
    <row r="51" spans="1:15" s="13" customFormat="1" ht="15" customHeight="1" x14ac:dyDescent="0.2">
      <c r="A51" s="29"/>
      <c r="B51" s="89" t="s">
        <v>101</v>
      </c>
      <c r="C51" s="101">
        <v>2190.75</v>
      </c>
      <c r="D51" s="101">
        <v>2387.83</v>
      </c>
      <c r="E51" s="102">
        <v>2396.5</v>
      </c>
      <c r="F51" s="102">
        <v>2360.83</v>
      </c>
      <c r="G51" s="157">
        <v>2338.6</v>
      </c>
      <c r="H51" s="101">
        <v>2349.63</v>
      </c>
      <c r="I51" s="101">
        <v>2605.3000000000002</v>
      </c>
      <c r="J51" s="101">
        <v>2631.86</v>
      </c>
      <c r="K51" s="101">
        <v>2580.61</v>
      </c>
      <c r="L51" s="101">
        <v>2625.93</v>
      </c>
      <c r="M51" s="101">
        <v>2678.81</v>
      </c>
      <c r="N51" s="158">
        <v>2629.95</v>
      </c>
      <c r="O51" s="61"/>
    </row>
    <row r="52" spans="1:15" s="13" customFormat="1" ht="15" customHeight="1" x14ac:dyDescent="0.2">
      <c r="A52" s="25"/>
      <c r="B52" s="90" t="s">
        <v>64</v>
      </c>
      <c r="C52" s="114">
        <v>64.405013225000005</v>
      </c>
      <c r="D52" s="114">
        <v>64.405013225000005</v>
      </c>
      <c r="E52" s="115">
        <v>64.405013225000005</v>
      </c>
      <c r="F52" s="115">
        <v>64.405013225000005</v>
      </c>
      <c r="G52" s="116">
        <v>64.405013225000005</v>
      </c>
      <c r="H52" s="114">
        <v>64.405013225000005</v>
      </c>
      <c r="I52" s="114">
        <v>64.405013225000005</v>
      </c>
      <c r="J52" s="114">
        <v>64.405013225000005</v>
      </c>
      <c r="K52" s="114">
        <v>64.405013225000005</v>
      </c>
      <c r="L52" s="114">
        <v>74.709810000000004</v>
      </c>
      <c r="M52" s="114">
        <v>74.709810000000004</v>
      </c>
      <c r="N52" s="117">
        <v>74.709810000000004</v>
      </c>
      <c r="O52" s="61"/>
    </row>
    <row r="53" spans="1:15" s="13" customFormat="1" ht="15" customHeight="1" x14ac:dyDescent="0.2">
      <c r="A53" s="29"/>
      <c r="B53" s="89" t="s">
        <v>9</v>
      </c>
      <c r="C53" s="114">
        <v>74.88</v>
      </c>
      <c r="D53" s="114">
        <v>74.88</v>
      </c>
      <c r="E53" s="115">
        <v>74.88</v>
      </c>
      <c r="F53" s="115">
        <v>74.88</v>
      </c>
      <c r="G53" s="116">
        <v>74.88</v>
      </c>
      <c r="H53" s="114">
        <v>74.88</v>
      </c>
      <c r="I53" s="114">
        <v>74.88</v>
      </c>
      <c r="J53" s="114">
        <v>74.88</v>
      </c>
      <c r="K53" s="114">
        <v>74.88</v>
      </c>
      <c r="L53" s="114">
        <v>125.04</v>
      </c>
      <c r="M53" s="114">
        <v>125.04</v>
      </c>
      <c r="N53" s="117">
        <v>125.04</v>
      </c>
      <c r="O53" s="61"/>
    </row>
    <row r="54" spans="1:15" s="13" customFormat="1" x14ac:dyDescent="0.2">
      <c r="A54" s="81"/>
      <c r="B54" s="91" t="s">
        <v>42</v>
      </c>
      <c r="C54" s="106">
        <v>5.3629999999999995</v>
      </c>
      <c r="D54" s="106">
        <v>5.3629999999999995</v>
      </c>
      <c r="E54" s="107">
        <v>5.3629999999999995</v>
      </c>
      <c r="F54" s="107">
        <v>5.3629999999999995</v>
      </c>
      <c r="G54" s="108">
        <v>5.3629999999999995</v>
      </c>
      <c r="H54" s="106">
        <v>5.3629999999999995</v>
      </c>
      <c r="I54" s="106">
        <v>5.3629999999999995</v>
      </c>
      <c r="J54" s="106">
        <v>5.3629999999999995</v>
      </c>
      <c r="K54" s="106">
        <v>5.3629999999999995</v>
      </c>
      <c r="L54" s="106">
        <v>6.1235300365250511</v>
      </c>
      <c r="M54" s="106">
        <v>6.1235300365250511</v>
      </c>
      <c r="N54" s="109">
        <v>6.1235300365250511</v>
      </c>
      <c r="O54" s="61"/>
    </row>
    <row r="55" spans="1:15" s="13" customFormat="1" ht="25.5" x14ac:dyDescent="0.2">
      <c r="A55" s="81"/>
      <c r="B55" s="87" t="s">
        <v>118</v>
      </c>
      <c r="C55" s="118">
        <f>SUM(C56:C57)</f>
        <v>1063691.4400000002</v>
      </c>
      <c r="D55" s="118">
        <f t="shared" ref="D55:N55" si="12">SUM(D56:D57)</f>
        <v>1007002.78</v>
      </c>
      <c r="E55" s="126">
        <f t="shared" si="12"/>
        <v>1062450.8899999999</v>
      </c>
      <c r="F55" s="126">
        <f t="shared" si="12"/>
        <v>1056190.19</v>
      </c>
      <c r="G55" s="118">
        <f t="shared" si="12"/>
        <v>1227142.22</v>
      </c>
      <c r="H55" s="118">
        <f t="shared" si="12"/>
        <v>1197387.5999999999</v>
      </c>
      <c r="I55" s="118">
        <f t="shared" si="12"/>
        <v>1200392.96</v>
      </c>
      <c r="J55" s="118">
        <f t="shared" si="12"/>
        <v>1192228.79</v>
      </c>
      <c r="K55" s="118">
        <f t="shared" si="12"/>
        <v>1192669.18</v>
      </c>
      <c r="L55" s="118">
        <f t="shared" si="12"/>
        <v>1225813.8399999999</v>
      </c>
      <c r="M55" s="118">
        <f t="shared" si="12"/>
        <v>1234126.6700000002</v>
      </c>
      <c r="N55" s="127">
        <f t="shared" si="12"/>
        <v>1233361.28</v>
      </c>
    </row>
    <row r="56" spans="1:15" s="13" customFormat="1" ht="25.5" x14ac:dyDescent="0.2">
      <c r="A56" s="81"/>
      <c r="B56" s="91" t="s">
        <v>116</v>
      </c>
      <c r="C56" s="101">
        <v>850.58</v>
      </c>
      <c r="D56" s="101">
        <v>1150.1400000000001</v>
      </c>
      <c r="E56" s="102">
        <v>1178.98</v>
      </c>
      <c r="F56" s="102">
        <v>1377.28</v>
      </c>
      <c r="G56" s="157">
        <v>1386.94</v>
      </c>
      <c r="H56" s="101">
        <v>1354.18</v>
      </c>
      <c r="I56" s="101">
        <v>1251.6600000000001</v>
      </c>
      <c r="J56" s="101">
        <v>1551.11</v>
      </c>
      <c r="K56" s="101">
        <v>1608.71</v>
      </c>
      <c r="L56" s="101">
        <v>1250.6400000000001</v>
      </c>
      <c r="M56" s="101">
        <v>1067.3599999999999</v>
      </c>
      <c r="N56" s="158">
        <v>1060.92</v>
      </c>
    </row>
    <row r="57" spans="1:15" s="13" customFormat="1" ht="25.5" x14ac:dyDescent="0.2">
      <c r="A57" s="81"/>
      <c r="B57" s="90" t="s">
        <v>117</v>
      </c>
      <c r="C57" s="146">
        <v>1062840.8600000001</v>
      </c>
      <c r="D57" s="146">
        <v>1005852.64</v>
      </c>
      <c r="E57" s="99">
        <v>1061271.9099999999</v>
      </c>
      <c r="F57" s="99">
        <v>1054812.9099999999</v>
      </c>
      <c r="G57" s="147">
        <v>1225755.28</v>
      </c>
      <c r="H57" s="146">
        <v>1196033.42</v>
      </c>
      <c r="I57" s="146">
        <v>1199141.3</v>
      </c>
      <c r="J57" s="146">
        <v>1190677.68</v>
      </c>
      <c r="K57" s="146">
        <v>1191060.47</v>
      </c>
      <c r="L57" s="146">
        <v>1224563.2</v>
      </c>
      <c r="M57" s="146">
        <v>1233059.31</v>
      </c>
      <c r="N57" s="185">
        <v>1232300.3600000001</v>
      </c>
    </row>
    <row r="58" spans="1:15" s="13" customFormat="1" ht="26.25" thickBot="1" x14ac:dyDescent="0.25">
      <c r="A58" s="32"/>
      <c r="B58" s="93" t="s">
        <v>65</v>
      </c>
      <c r="C58" s="129">
        <v>322592.31</v>
      </c>
      <c r="D58" s="129">
        <v>322592.31</v>
      </c>
      <c r="E58" s="130">
        <v>322592.31</v>
      </c>
      <c r="F58" s="130">
        <v>322592.31</v>
      </c>
      <c r="G58" s="133">
        <v>322592.31</v>
      </c>
      <c r="H58" s="129">
        <v>322592.31</v>
      </c>
      <c r="I58" s="129">
        <v>322592.31</v>
      </c>
      <c r="J58" s="129">
        <v>322592.31</v>
      </c>
      <c r="K58" s="129">
        <v>322592.31</v>
      </c>
      <c r="L58" s="129">
        <v>374207.08</v>
      </c>
      <c r="M58" s="129">
        <v>374207.08</v>
      </c>
      <c r="N58" s="125">
        <v>374207.08</v>
      </c>
    </row>
    <row r="59" spans="1:15" s="13" customFormat="1" x14ac:dyDescent="0.2">
      <c r="A59" s="45"/>
      <c r="B59" s="95"/>
      <c r="C59" s="47"/>
      <c r="D59" s="47"/>
      <c r="E59" s="48"/>
      <c r="F59" s="48"/>
      <c r="G59" s="47"/>
      <c r="H59" s="47"/>
      <c r="I59" s="47"/>
      <c r="J59" s="47"/>
      <c r="K59" s="47"/>
      <c r="L59" s="47"/>
      <c r="M59" s="47"/>
      <c r="N59" s="47"/>
    </row>
    <row r="60" spans="1:15" s="13" customFormat="1" x14ac:dyDescent="0.2">
      <c r="A60" s="45"/>
      <c r="B60" s="95"/>
      <c r="C60" s="47"/>
      <c r="D60" s="47"/>
      <c r="E60" s="48"/>
      <c r="F60" s="48"/>
      <c r="G60" s="47"/>
      <c r="H60" s="47"/>
      <c r="I60" s="47"/>
      <c r="J60" s="47"/>
      <c r="K60" s="47"/>
      <c r="L60" s="47"/>
      <c r="M60" s="47"/>
      <c r="N60" s="47"/>
    </row>
    <row r="61" spans="1:15" s="59" customFormat="1" ht="21" customHeight="1" thickBot="1" x14ac:dyDescent="0.25">
      <c r="A61" s="7" t="s">
        <v>99</v>
      </c>
      <c r="B61" s="7"/>
      <c r="C61" s="7"/>
      <c r="D61" s="7"/>
      <c r="E61" s="7"/>
      <c r="F61" s="7"/>
      <c r="G61" s="5"/>
      <c r="H61" s="5"/>
      <c r="I61" s="5"/>
      <c r="J61" s="5"/>
      <c r="K61" s="5"/>
      <c r="L61" s="6"/>
      <c r="M61" s="6"/>
      <c r="N61" s="6"/>
    </row>
    <row r="62" spans="1:15" s="13" customFormat="1" ht="24" customHeight="1" thickBot="1" x14ac:dyDescent="0.25">
      <c r="A62" s="49" t="s">
        <v>0</v>
      </c>
      <c r="B62" s="50" t="s">
        <v>1</v>
      </c>
      <c r="C62" s="51" t="s">
        <v>17</v>
      </c>
      <c r="D62" s="51" t="s">
        <v>18</v>
      </c>
      <c r="E62" s="51" t="s">
        <v>19</v>
      </c>
      <c r="F62" s="51" t="s">
        <v>20</v>
      </c>
      <c r="G62" s="51" t="s">
        <v>21</v>
      </c>
      <c r="H62" s="51" t="s">
        <v>22</v>
      </c>
      <c r="I62" s="51" t="s">
        <v>23</v>
      </c>
      <c r="J62" s="51" t="s">
        <v>24</v>
      </c>
      <c r="K62" s="51" t="s">
        <v>25</v>
      </c>
      <c r="L62" s="51" t="s">
        <v>26</v>
      </c>
      <c r="M62" s="51" t="s">
        <v>27</v>
      </c>
      <c r="N62" s="52" t="s">
        <v>28</v>
      </c>
    </row>
    <row r="63" spans="1:15" s="17" customFormat="1" ht="21" customHeight="1" thickBot="1" x14ac:dyDescent="0.25">
      <c r="A63" s="14" t="s">
        <v>14</v>
      </c>
      <c r="B63" s="15" t="s">
        <v>5</v>
      </c>
      <c r="C63" s="73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2"/>
      <c r="O63" s="44"/>
    </row>
    <row r="64" spans="1:15" s="17" customFormat="1" ht="14.25" customHeight="1" thickBot="1" x14ac:dyDescent="0.25">
      <c r="A64" s="18" t="s">
        <v>15</v>
      </c>
      <c r="B64" s="78" t="s">
        <v>7</v>
      </c>
      <c r="C64" s="20"/>
      <c r="D64" s="20"/>
      <c r="E64" s="21"/>
      <c r="F64" s="21"/>
      <c r="G64" s="63"/>
      <c r="H64" s="21"/>
      <c r="I64" s="21"/>
      <c r="J64" s="21"/>
      <c r="K64" s="21"/>
      <c r="L64" s="21"/>
      <c r="M64" s="21"/>
      <c r="N64" s="22"/>
      <c r="O64" s="61"/>
    </row>
    <row r="65" spans="1:15" s="13" customFormat="1" ht="15" customHeight="1" x14ac:dyDescent="0.2">
      <c r="A65" s="80"/>
      <c r="B65" s="86" t="s">
        <v>61</v>
      </c>
      <c r="C65" s="155">
        <f>SUM(C66:C69)</f>
        <v>2408.723</v>
      </c>
      <c r="D65" s="155">
        <f t="shared" ref="D65:N65" si="13">SUM(D66:D69)</f>
        <v>2605.8029999999999</v>
      </c>
      <c r="E65" s="156">
        <f t="shared" si="13"/>
        <v>2614.473</v>
      </c>
      <c r="F65" s="156">
        <f t="shared" si="13"/>
        <v>2578.8029999999999</v>
      </c>
      <c r="G65" s="156">
        <f t="shared" si="13"/>
        <v>2556.5729999999999</v>
      </c>
      <c r="H65" s="156">
        <f t="shared" si="13"/>
        <v>2567.6030000000001</v>
      </c>
      <c r="I65" s="156">
        <f t="shared" si="13"/>
        <v>2823.2730000000001</v>
      </c>
      <c r="J65" s="156">
        <f t="shared" si="13"/>
        <v>2849.8330000000001</v>
      </c>
      <c r="K65" s="156">
        <f t="shared" si="13"/>
        <v>2798.5830000000001</v>
      </c>
      <c r="L65" s="156">
        <f t="shared" si="13"/>
        <v>2915.7535300365248</v>
      </c>
      <c r="M65" s="156">
        <f t="shared" si="13"/>
        <v>2968.6335300365249</v>
      </c>
      <c r="N65" s="156">
        <f t="shared" si="13"/>
        <v>2919.7735300365248</v>
      </c>
      <c r="O65" s="61"/>
    </row>
    <row r="66" spans="1:15" s="13" customFormat="1" ht="15" customHeight="1" x14ac:dyDescent="0.2">
      <c r="A66" s="29"/>
      <c r="B66" s="89" t="s">
        <v>101</v>
      </c>
      <c r="C66" s="101">
        <v>2190.75</v>
      </c>
      <c r="D66" s="101">
        <v>2387.83</v>
      </c>
      <c r="E66" s="102">
        <v>2396.5</v>
      </c>
      <c r="F66" s="102">
        <v>2360.83</v>
      </c>
      <c r="G66" s="157">
        <v>2338.6</v>
      </c>
      <c r="H66" s="101">
        <v>2349.63</v>
      </c>
      <c r="I66" s="101">
        <v>2605.3000000000002</v>
      </c>
      <c r="J66" s="101">
        <v>2631.86</v>
      </c>
      <c r="K66" s="101">
        <v>2580.61</v>
      </c>
      <c r="L66" s="101">
        <v>2625.93</v>
      </c>
      <c r="M66" s="101">
        <v>2678.81</v>
      </c>
      <c r="N66" s="158">
        <v>2629.95</v>
      </c>
      <c r="O66" s="61"/>
    </row>
    <row r="67" spans="1:15" s="13" customFormat="1" ht="15" customHeight="1" x14ac:dyDescent="0.2">
      <c r="A67" s="25"/>
      <c r="B67" s="90" t="s">
        <v>64</v>
      </c>
      <c r="C67" s="114">
        <v>137.72999999999999</v>
      </c>
      <c r="D67" s="114">
        <v>137.72999999999999</v>
      </c>
      <c r="E67" s="115">
        <v>137.72999999999999</v>
      </c>
      <c r="F67" s="115">
        <v>137.72999999999999</v>
      </c>
      <c r="G67" s="116">
        <v>137.72999999999999</v>
      </c>
      <c r="H67" s="114">
        <v>137.72999999999999</v>
      </c>
      <c r="I67" s="114">
        <v>137.72999999999999</v>
      </c>
      <c r="J67" s="114">
        <v>137.72999999999999</v>
      </c>
      <c r="K67" s="114">
        <v>137.72999999999999</v>
      </c>
      <c r="L67" s="114">
        <v>158.66</v>
      </c>
      <c r="M67" s="114">
        <v>158.66</v>
      </c>
      <c r="N67" s="117">
        <v>158.66</v>
      </c>
      <c r="O67" s="61"/>
    </row>
    <row r="68" spans="1:15" s="13" customFormat="1" ht="15" customHeight="1" x14ac:dyDescent="0.2">
      <c r="A68" s="29"/>
      <c r="B68" s="89" t="s">
        <v>9</v>
      </c>
      <c r="C68" s="114">
        <v>74.88</v>
      </c>
      <c r="D68" s="114">
        <v>74.88</v>
      </c>
      <c r="E68" s="115">
        <v>74.88</v>
      </c>
      <c r="F68" s="115">
        <v>74.88</v>
      </c>
      <c r="G68" s="116">
        <v>74.88</v>
      </c>
      <c r="H68" s="114">
        <v>74.88</v>
      </c>
      <c r="I68" s="114">
        <v>74.88</v>
      </c>
      <c r="J68" s="114">
        <v>74.88</v>
      </c>
      <c r="K68" s="114">
        <v>74.88</v>
      </c>
      <c r="L68" s="114">
        <v>125.04</v>
      </c>
      <c r="M68" s="114">
        <v>125.04</v>
      </c>
      <c r="N68" s="117">
        <v>125.04</v>
      </c>
      <c r="O68" s="61"/>
    </row>
    <row r="69" spans="1:15" s="13" customFormat="1" x14ac:dyDescent="0.2">
      <c r="A69" s="81"/>
      <c r="B69" s="91" t="s">
        <v>42</v>
      </c>
      <c r="C69" s="106">
        <v>5.3629999999999995</v>
      </c>
      <c r="D69" s="106">
        <v>5.3629999999999995</v>
      </c>
      <c r="E69" s="107">
        <v>5.3629999999999995</v>
      </c>
      <c r="F69" s="107">
        <v>5.3629999999999995</v>
      </c>
      <c r="G69" s="108">
        <v>5.3629999999999995</v>
      </c>
      <c r="H69" s="106">
        <v>5.3629999999999995</v>
      </c>
      <c r="I69" s="106">
        <v>5.3629999999999995</v>
      </c>
      <c r="J69" s="106">
        <v>5.3629999999999995</v>
      </c>
      <c r="K69" s="106">
        <v>5.3629999999999995</v>
      </c>
      <c r="L69" s="106">
        <v>6.1235300365250511</v>
      </c>
      <c r="M69" s="106">
        <v>6.1235300365250511</v>
      </c>
      <c r="N69" s="109">
        <v>6.1235300365250511</v>
      </c>
      <c r="O69" s="61"/>
    </row>
    <row r="70" spans="1:15" s="13" customFormat="1" ht="25.5" x14ac:dyDescent="0.2">
      <c r="A70" s="82"/>
      <c r="B70" s="87" t="s">
        <v>118</v>
      </c>
      <c r="C70" s="118">
        <f>SUM(C71:C72)</f>
        <v>1063691.4400000002</v>
      </c>
      <c r="D70" s="118">
        <f t="shared" ref="D70:N70" si="14">SUM(D71:D72)</f>
        <v>1007002.78</v>
      </c>
      <c r="E70" s="126">
        <f t="shared" si="14"/>
        <v>1062450.8899999999</v>
      </c>
      <c r="F70" s="126">
        <f t="shared" si="14"/>
        <v>1056190.19</v>
      </c>
      <c r="G70" s="118">
        <f t="shared" si="14"/>
        <v>1227142.22</v>
      </c>
      <c r="H70" s="118">
        <f t="shared" si="14"/>
        <v>1197387.5999999999</v>
      </c>
      <c r="I70" s="118">
        <f t="shared" si="14"/>
        <v>1200392.96</v>
      </c>
      <c r="J70" s="118">
        <f t="shared" si="14"/>
        <v>1192228.79</v>
      </c>
      <c r="K70" s="118">
        <f t="shared" si="14"/>
        <v>1192669.18</v>
      </c>
      <c r="L70" s="118">
        <f t="shared" si="14"/>
        <v>1225813.8399999999</v>
      </c>
      <c r="M70" s="118">
        <f t="shared" si="14"/>
        <v>1234126.6700000002</v>
      </c>
      <c r="N70" s="127">
        <f t="shared" si="14"/>
        <v>1233361.28</v>
      </c>
    </row>
    <row r="71" spans="1:15" s="13" customFormat="1" ht="25.5" x14ac:dyDescent="0.2">
      <c r="A71" s="178"/>
      <c r="B71" s="91" t="s">
        <v>116</v>
      </c>
      <c r="C71" s="101">
        <v>850.58</v>
      </c>
      <c r="D71" s="101">
        <v>1150.1400000000001</v>
      </c>
      <c r="E71" s="102">
        <v>1178.98</v>
      </c>
      <c r="F71" s="102">
        <v>1377.28</v>
      </c>
      <c r="G71" s="157">
        <v>1386.94</v>
      </c>
      <c r="H71" s="101">
        <v>1354.18</v>
      </c>
      <c r="I71" s="101">
        <v>1251.6600000000001</v>
      </c>
      <c r="J71" s="101">
        <v>1551.11</v>
      </c>
      <c r="K71" s="101">
        <v>1608.71</v>
      </c>
      <c r="L71" s="101">
        <v>1250.6400000000001</v>
      </c>
      <c r="M71" s="101">
        <v>1067.3599999999999</v>
      </c>
      <c r="N71" s="158">
        <v>1060.92</v>
      </c>
    </row>
    <row r="72" spans="1:15" s="13" customFormat="1" ht="25.5" x14ac:dyDescent="0.2">
      <c r="A72" s="178"/>
      <c r="B72" s="90" t="s">
        <v>117</v>
      </c>
      <c r="C72" s="146">
        <v>1062840.8600000001</v>
      </c>
      <c r="D72" s="146">
        <v>1005852.64</v>
      </c>
      <c r="E72" s="99">
        <v>1061271.9099999999</v>
      </c>
      <c r="F72" s="99">
        <v>1054812.9099999999</v>
      </c>
      <c r="G72" s="147">
        <v>1225755.28</v>
      </c>
      <c r="H72" s="146">
        <v>1196033.42</v>
      </c>
      <c r="I72" s="146">
        <v>1199141.3</v>
      </c>
      <c r="J72" s="146">
        <v>1190677.68</v>
      </c>
      <c r="K72" s="146">
        <v>1191060.47</v>
      </c>
      <c r="L72" s="146">
        <v>1224563.2</v>
      </c>
      <c r="M72" s="146">
        <v>1233059.31</v>
      </c>
      <c r="N72" s="148">
        <v>1232300.3600000001</v>
      </c>
    </row>
    <row r="73" spans="1:15" s="13" customFormat="1" ht="26.25" thickBot="1" x14ac:dyDescent="0.25">
      <c r="A73" s="84"/>
      <c r="B73" s="191" t="s">
        <v>65</v>
      </c>
      <c r="C73" s="128">
        <v>1216018.8400000001</v>
      </c>
      <c r="D73" s="129">
        <v>1216018.8400000001</v>
      </c>
      <c r="E73" s="130">
        <v>1216018.8400000001</v>
      </c>
      <c r="F73" s="130">
        <v>1216018.8400000001</v>
      </c>
      <c r="G73" s="131">
        <v>1216018.8400000001</v>
      </c>
      <c r="H73" s="128">
        <v>1216018.8400000001</v>
      </c>
      <c r="I73" s="129">
        <v>1216018.8400000001</v>
      </c>
      <c r="J73" s="128">
        <v>1216018.8400000001</v>
      </c>
      <c r="K73" s="129">
        <v>1216018.8400000001</v>
      </c>
      <c r="L73" s="128">
        <v>1400853.7</v>
      </c>
      <c r="M73" s="129">
        <v>1400853.7</v>
      </c>
      <c r="N73" s="132">
        <v>1400853.7</v>
      </c>
    </row>
    <row r="74" spans="1:15" s="13" customFormat="1" ht="26.25" thickBot="1" x14ac:dyDescent="0.25">
      <c r="A74" s="36" t="s">
        <v>16</v>
      </c>
      <c r="B74" s="37" t="s">
        <v>11</v>
      </c>
      <c r="C74" s="20"/>
      <c r="D74" s="20"/>
      <c r="E74" s="21"/>
      <c r="F74" s="21"/>
      <c r="G74" s="66"/>
      <c r="H74" s="20"/>
      <c r="I74" s="20"/>
      <c r="J74" s="20"/>
      <c r="K74" s="20"/>
      <c r="L74" s="20"/>
      <c r="M74" s="20"/>
      <c r="N74" s="55"/>
    </row>
    <row r="75" spans="1:15" s="13" customFormat="1" ht="14.25" customHeight="1" x14ac:dyDescent="0.2">
      <c r="A75" s="85"/>
      <c r="B75" s="88" t="s">
        <v>61</v>
      </c>
      <c r="C75" s="159">
        <f>SUM(C76:C78)</f>
        <v>2270.9929999999999</v>
      </c>
      <c r="D75" s="159">
        <f t="shared" ref="D75:N75" si="15">SUM(D76:D78)</f>
        <v>2468.0729999999999</v>
      </c>
      <c r="E75" s="160">
        <f t="shared" si="15"/>
        <v>2476.7429999999999</v>
      </c>
      <c r="F75" s="160">
        <f t="shared" si="15"/>
        <v>2441.0729999999999</v>
      </c>
      <c r="G75" s="160">
        <f t="shared" si="15"/>
        <v>2418.8429999999998</v>
      </c>
      <c r="H75" s="160">
        <f t="shared" si="15"/>
        <v>2429.873</v>
      </c>
      <c r="I75" s="160">
        <f t="shared" si="15"/>
        <v>2685.5430000000001</v>
      </c>
      <c r="J75" s="160">
        <f t="shared" si="15"/>
        <v>2712.1030000000001</v>
      </c>
      <c r="K75" s="160">
        <f t="shared" si="15"/>
        <v>2660.8530000000001</v>
      </c>
      <c r="L75" s="160">
        <f t="shared" si="15"/>
        <v>2757.093530036525</v>
      </c>
      <c r="M75" s="160">
        <f t="shared" si="15"/>
        <v>2809.9735300365251</v>
      </c>
      <c r="N75" s="161">
        <f t="shared" si="15"/>
        <v>2761.1135300365249</v>
      </c>
    </row>
    <row r="76" spans="1:15" s="13" customFormat="1" ht="15" customHeight="1" x14ac:dyDescent="0.2">
      <c r="A76" s="25"/>
      <c r="B76" s="89" t="s">
        <v>101</v>
      </c>
      <c r="C76" s="101">
        <f>C66</f>
        <v>2190.75</v>
      </c>
      <c r="D76" s="101">
        <f t="shared" ref="D76:N76" si="16">D66</f>
        <v>2387.83</v>
      </c>
      <c r="E76" s="102">
        <f t="shared" si="16"/>
        <v>2396.5</v>
      </c>
      <c r="F76" s="102">
        <f t="shared" si="16"/>
        <v>2360.83</v>
      </c>
      <c r="G76" s="157">
        <f t="shared" si="16"/>
        <v>2338.6</v>
      </c>
      <c r="H76" s="101">
        <f t="shared" si="16"/>
        <v>2349.63</v>
      </c>
      <c r="I76" s="101">
        <f t="shared" si="16"/>
        <v>2605.3000000000002</v>
      </c>
      <c r="J76" s="101">
        <f t="shared" si="16"/>
        <v>2631.86</v>
      </c>
      <c r="K76" s="101">
        <f t="shared" si="16"/>
        <v>2580.61</v>
      </c>
      <c r="L76" s="101">
        <f t="shared" si="16"/>
        <v>2625.93</v>
      </c>
      <c r="M76" s="101">
        <f t="shared" si="16"/>
        <v>2678.81</v>
      </c>
      <c r="N76" s="158">
        <f t="shared" si="16"/>
        <v>2629.95</v>
      </c>
    </row>
    <row r="77" spans="1:15" s="13" customFormat="1" ht="15" customHeight="1" x14ac:dyDescent="0.2">
      <c r="A77" s="40"/>
      <c r="B77" s="90" t="s">
        <v>9</v>
      </c>
      <c r="C77" s="114">
        <f t="shared" ref="C77:N77" si="17">C68</f>
        <v>74.88</v>
      </c>
      <c r="D77" s="114">
        <f t="shared" si="17"/>
        <v>74.88</v>
      </c>
      <c r="E77" s="115">
        <f t="shared" si="17"/>
        <v>74.88</v>
      </c>
      <c r="F77" s="115">
        <f t="shared" si="17"/>
        <v>74.88</v>
      </c>
      <c r="G77" s="121">
        <f t="shared" si="17"/>
        <v>74.88</v>
      </c>
      <c r="H77" s="115">
        <f t="shared" si="17"/>
        <v>74.88</v>
      </c>
      <c r="I77" s="115">
        <f t="shared" si="17"/>
        <v>74.88</v>
      </c>
      <c r="J77" s="115">
        <f t="shared" si="17"/>
        <v>74.88</v>
      </c>
      <c r="K77" s="115">
        <f t="shared" si="17"/>
        <v>74.88</v>
      </c>
      <c r="L77" s="115">
        <f t="shared" si="17"/>
        <v>125.04</v>
      </c>
      <c r="M77" s="115">
        <f t="shared" si="17"/>
        <v>125.04</v>
      </c>
      <c r="N77" s="122">
        <f t="shared" si="17"/>
        <v>125.04</v>
      </c>
    </row>
    <row r="78" spans="1:15" s="13" customFormat="1" ht="15" customHeight="1" x14ac:dyDescent="0.2">
      <c r="A78" s="81"/>
      <c r="B78" s="91" t="s">
        <v>42</v>
      </c>
      <c r="C78" s="106">
        <f t="shared" ref="C78:N78" si="18">C69</f>
        <v>5.3629999999999995</v>
      </c>
      <c r="D78" s="106">
        <f t="shared" si="18"/>
        <v>5.3629999999999995</v>
      </c>
      <c r="E78" s="107">
        <f t="shared" si="18"/>
        <v>5.3629999999999995</v>
      </c>
      <c r="F78" s="107">
        <f t="shared" si="18"/>
        <v>5.3629999999999995</v>
      </c>
      <c r="G78" s="108">
        <f t="shared" si="18"/>
        <v>5.3629999999999995</v>
      </c>
      <c r="H78" s="106">
        <f t="shared" si="18"/>
        <v>5.3629999999999995</v>
      </c>
      <c r="I78" s="106">
        <f t="shared" si="18"/>
        <v>5.3629999999999995</v>
      </c>
      <c r="J78" s="106">
        <f t="shared" si="18"/>
        <v>5.3629999999999995</v>
      </c>
      <c r="K78" s="106">
        <f t="shared" si="18"/>
        <v>5.3629999999999995</v>
      </c>
      <c r="L78" s="106">
        <f t="shared" si="18"/>
        <v>6.1235300365250511</v>
      </c>
      <c r="M78" s="106">
        <f t="shared" si="18"/>
        <v>6.1235300365250511</v>
      </c>
      <c r="N78" s="109">
        <f t="shared" si="18"/>
        <v>6.1235300365250511</v>
      </c>
    </row>
    <row r="79" spans="1:15" s="13" customFormat="1" ht="25.5" x14ac:dyDescent="0.2">
      <c r="A79" s="81"/>
      <c r="B79" s="87" t="s">
        <v>118</v>
      </c>
      <c r="C79" s="118">
        <f>SUM(C80:C81)</f>
        <v>1063691.4400000002</v>
      </c>
      <c r="D79" s="118">
        <f t="shared" ref="D79:N79" si="19">SUM(D80:D81)</f>
        <v>1007002.78</v>
      </c>
      <c r="E79" s="126">
        <f t="shared" si="19"/>
        <v>1062450.8899999999</v>
      </c>
      <c r="F79" s="126">
        <f t="shared" si="19"/>
        <v>1056190.19</v>
      </c>
      <c r="G79" s="118">
        <f t="shared" si="19"/>
        <v>1227142.22</v>
      </c>
      <c r="H79" s="118">
        <f t="shared" si="19"/>
        <v>1197387.5999999999</v>
      </c>
      <c r="I79" s="118">
        <f t="shared" si="19"/>
        <v>1200392.96</v>
      </c>
      <c r="J79" s="118">
        <f t="shared" si="19"/>
        <v>1192228.79</v>
      </c>
      <c r="K79" s="118">
        <f t="shared" si="19"/>
        <v>1192669.18</v>
      </c>
      <c r="L79" s="118">
        <f t="shared" si="19"/>
        <v>1225813.8399999999</v>
      </c>
      <c r="M79" s="118">
        <f t="shared" si="19"/>
        <v>1234126.6700000002</v>
      </c>
      <c r="N79" s="127">
        <f t="shared" si="19"/>
        <v>1233361.28</v>
      </c>
    </row>
    <row r="80" spans="1:15" s="13" customFormat="1" ht="25.5" x14ac:dyDescent="0.2">
      <c r="A80" s="81"/>
      <c r="B80" s="91" t="s">
        <v>116</v>
      </c>
      <c r="C80" s="101">
        <v>850.58</v>
      </c>
      <c r="D80" s="101">
        <v>1150.1400000000001</v>
      </c>
      <c r="E80" s="102">
        <v>1178.98</v>
      </c>
      <c r="F80" s="102">
        <v>1377.28</v>
      </c>
      <c r="G80" s="157">
        <v>1386.94</v>
      </c>
      <c r="H80" s="101">
        <v>1354.18</v>
      </c>
      <c r="I80" s="101">
        <v>1251.6600000000001</v>
      </c>
      <c r="J80" s="101">
        <v>1551.11</v>
      </c>
      <c r="K80" s="101">
        <v>1608.71</v>
      </c>
      <c r="L80" s="101">
        <v>1250.6400000000001</v>
      </c>
      <c r="M80" s="101">
        <v>1067.3599999999999</v>
      </c>
      <c r="N80" s="158">
        <v>1060.92</v>
      </c>
    </row>
    <row r="81" spans="1:15" s="13" customFormat="1" ht="26.25" thickBot="1" x14ac:dyDescent="0.25">
      <c r="A81" s="32"/>
      <c r="B81" s="186" t="s">
        <v>117</v>
      </c>
      <c r="C81" s="187">
        <v>1062840.8600000001</v>
      </c>
      <c r="D81" s="187">
        <v>1005852.64</v>
      </c>
      <c r="E81" s="100">
        <v>1061271.9099999999</v>
      </c>
      <c r="F81" s="100">
        <v>1054812.9099999999</v>
      </c>
      <c r="G81" s="192">
        <v>1225755.28</v>
      </c>
      <c r="H81" s="187">
        <v>1196033.42</v>
      </c>
      <c r="I81" s="187">
        <v>1199141.3</v>
      </c>
      <c r="J81" s="187">
        <v>1190677.68</v>
      </c>
      <c r="K81" s="187">
        <v>1191060.47</v>
      </c>
      <c r="L81" s="187">
        <v>1224563.2</v>
      </c>
      <c r="M81" s="187">
        <v>1233059.31</v>
      </c>
      <c r="N81" s="188">
        <v>1232300.3600000001</v>
      </c>
    </row>
    <row r="82" spans="1:15" s="13" customFormat="1" ht="15" thickBot="1" x14ac:dyDescent="0.25">
      <c r="A82" s="36" t="s">
        <v>67</v>
      </c>
      <c r="B82" s="37" t="s">
        <v>66</v>
      </c>
      <c r="C82" s="20"/>
      <c r="D82" s="20"/>
      <c r="E82" s="21"/>
      <c r="F82" s="21"/>
      <c r="G82" s="66"/>
      <c r="H82" s="20"/>
      <c r="I82" s="20"/>
      <c r="J82" s="20"/>
      <c r="K82" s="20"/>
      <c r="L82" s="20"/>
      <c r="M82" s="20"/>
      <c r="N82" s="55"/>
    </row>
    <row r="83" spans="1:15" s="13" customFormat="1" ht="14.25" customHeight="1" x14ac:dyDescent="0.2">
      <c r="A83" s="85"/>
      <c r="B83" s="88" t="s">
        <v>61</v>
      </c>
      <c r="C83" s="159">
        <f>SUM(C84:C86)</f>
        <v>2270.9929999999999</v>
      </c>
      <c r="D83" s="159">
        <f t="shared" ref="D83:N83" si="20">SUM(D84:D86)</f>
        <v>2468.0729999999999</v>
      </c>
      <c r="E83" s="160">
        <f t="shared" si="20"/>
        <v>2476.7429999999999</v>
      </c>
      <c r="F83" s="160">
        <f t="shared" si="20"/>
        <v>2441.0729999999999</v>
      </c>
      <c r="G83" s="160">
        <f t="shared" si="20"/>
        <v>2418.8429999999998</v>
      </c>
      <c r="H83" s="160">
        <f t="shared" si="20"/>
        <v>2429.873</v>
      </c>
      <c r="I83" s="160">
        <f t="shared" si="20"/>
        <v>2685.5430000000001</v>
      </c>
      <c r="J83" s="160">
        <f t="shared" si="20"/>
        <v>2712.1030000000001</v>
      </c>
      <c r="K83" s="160">
        <f t="shared" si="20"/>
        <v>2660.8530000000001</v>
      </c>
      <c r="L83" s="160">
        <f t="shared" si="20"/>
        <v>2757.093530036525</v>
      </c>
      <c r="M83" s="160">
        <f t="shared" si="20"/>
        <v>2809.9735300365251</v>
      </c>
      <c r="N83" s="161">
        <f t="shared" si="20"/>
        <v>2761.1135300365249</v>
      </c>
    </row>
    <row r="84" spans="1:15" s="13" customFormat="1" x14ac:dyDescent="0.2">
      <c r="A84" s="25"/>
      <c r="B84" s="89" t="s">
        <v>101</v>
      </c>
      <c r="C84" s="101">
        <f t="shared" ref="C84:N84" si="21">C66</f>
        <v>2190.75</v>
      </c>
      <c r="D84" s="101">
        <f t="shared" si="21"/>
        <v>2387.83</v>
      </c>
      <c r="E84" s="102">
        <f t="shared" si="21"/>
        <v>2396.5</v>
      </c>
      <c r="F84" s="102">
        <f t="shared" si="21"/>
        <v>2360.83</v>
      </c>
      <c r="G84" s="157">
        <f t="shared" si="21"/>
        <v>2338.6</v>
      </c>
      <c r="H84" s="101">
        <f t="shared" si="21"/>
        <v>2349.63</v>
      </c>
      <c r="I84" s="101">
        <f t="shared" si="21"/>
        <v>2605.3000000000002</v>
      </c>
      <c r="J84" s="101">
        <f t="shared" si="21"/>
        <v>2631.86</v>
      </c>
      <c r="K84" s="101">
        <f t="shared" si="21"/>
        <v>2580.61</v>
      </c>
      <c r="L84" s="101">
        <f t="shared" si="21"/>
        <v>2625.93</v>
      </c>
      <c r="M84" s="101">
        <f t="shared" si="21"/>
        <v>2678.81</v>
      </c>
      <c r="N84" s="158">
        <f t="shared" si="21"/>
        <v>2629.95</v>
      </c>
    </row>
    <row r="85" spans="1:15" s="13" customFormat="1" x14ac:dyDescent="0.2">
      <c r="A85" s="40"/>
      <c r="B85" s="90" t="s">
        <v>9</v>
      </c>
      <c r="C85" s="114">
        <f t="shared" ref="C85:N85" si="22">C68</f>
        <v>74.88</v>
      </c>
      <c r="D85" s="114">
        <f t="shared" si="22"/>
        <v>74.88</v>
      </c>
      <c r="E85" s="115">
        <f t="shared" si="22"/>
        <v>74.88</v>
      </c>
      <c r="F85" s="115">
        <f t="shared" si="22"/>
        <v>74.88</v>
      </c>
      <c r="G85" s="121">
        <f t="shared" si="22"/>
        <v>74.88</v>
      </c>
      <c r="H85" s="115">
        <f t="shared" si="22"/>
        <v>74.88</v>
      </c>
      <c r="I85" s="115">
        <f t="shared" si="22"/>
        <v>74.88</v>
      </c>
      <c r="J85" s="115">
        <f t="shared" si="22"/>
        <v>74.88</v>
      </c>
      <c r="K85" s="115">
        <f t="shared" si="22"/>
        <v>74.88</v>
      </c>
      <c r="L85" s="115">
        <f t="shared" si="22"/>
        <v>125.04</v>
      </c>
      <c r="M85" s="115">
        <f t="shared" si="22"/>
        <v>125.04</v>
      </c>
      <c r="N85" s="122">
        <f t="shared" si="22"/>
        <v>125.04</v>
      </c>
    </row>
    <row r="86" spans="1:15" s="13" customFormat="1" x14ac:dyDescent="0.2">
      <c r="A86" s="81"/>
      <c r="B86" s="91" t="s">
        <v>42</v>
      </c>
      <c r="C86" s="106">
        <f t="shared" ref="C86:N86" si="23">C69</f>
        <v>5.3629999999999995</v>
      </c>
      <c r="D86" s="106">
        <f t="shared" si="23"/>
        <v>5.3629999999999995</v>
      </c>
      <c r="E86" s="107">
        <f t="shared" si="23"/>
        <v>5.3629999999999995</v>
      </c>
      <c r="F86" s="107">
        <f t="shared" si="23"/>
        <v>5.3629999999999995</v>
      </c>
      <c r="G86" s="108">
        <f t="shared" si="23"/>
        <v>5.3629999999999995</v>
      </c>
      <c r="H86" s="106">
        <f t="shared" si="23"/>
        <v>5.3629999999999995</v>
      </c>
      <c r="I86" s="106">
        <f t="shared" si="23"/>
        <v>5.3629999999999995</v>
      </c>
      <c r="J86" s="106">
        <f t="shared" si="23"/>
        <v>5.3629999999999995</v>
      </c>
      <c r="K86" s="106">
        <f t="shared" si="23"/>
        <v>5.3629999999999995</v>
      </c>
      <c r="L86" s="106">
        <f t="shared" si="23"/>
        <v>6.1235300365250511</v>
      </c>
      <c r="M86" s="106">
        <f t="shared" si="23"/>
        <v>6.1235300365250511</v>
      </c>
      <c r="N86" s="109">
        <f t="shared" si="23"/>
        <v>6.1235300365250511</v>
      </c>
    </row>
    <row r="87" spans="1:15" s="13" customFormat="1" ht="25.5" x14ac:dyDescent="0.2">
      <c r="A87" s="25"/>
      <c r="B87" s="87" t="s">
        <v>118</v>
      </c>
      <c r="C87" s="118">
        <f>SUM(C88:C89)</f>
        <v>1063691.4400000002</v>
      </c>
      <c r="D87" s="118">
        <f t="shared" ref="D87:N87" si="24">SUM(D88:D89)</f>
        <v>1007002.78</v>
      </c>
      <c r="E87" s="126">
        <f t="shared" si="24"/>
        <v>1062450.8899999999</v>
      </c>
      <c r="F87" s="126">
        <f t="shared" si="24"/>
        <v>1056190.19</v>
      </c>
      <c r="G87" s="118">
        <f t="shared" si="24"/>
        <v>1227142.22</v>
      </c>
      <c r="H87" s="118">
        <f t="shared" si="24"/>
        <v>1197387.5999999999</v>
      </c>
      <c r="I87" s="118">
        <f t="shared" si="24"/>
        <v>1200392.96</v>
      </c>
      <c r="J87" s="118">
        <f t="shared" si="24"/>
        <v>1192228.79</v>
      </c>
      <c r="K87" s="118">
        <f t="shared" si="24"/>
        <v>1192669.18</v>
      </c>
      <c r="L87" s="118">
        <f t="shared" si="24"/>
        <v>1225813.8399999999</v>
      </c>
      <c r="M87" s="118">
        <f t="shared" si="24"/>
        <v>1234126.6700000002</v>
      </c>
      <c r="N87" s="127">
        <f t="shared" si="24"/>
        <v>1233361.28</v>
      </c>
    </row>
    <row r="88" spans="1:15" s="13" customFormat="1" ht="25.5" x14ac:dyDescent="0.2">
      <c r="A88" s="29"/>
      <c r="B88" s="91" t="s">
        <v>116</v>
      </c>
      <c r="C88" s="101">
        <v>850.58</v>
      </c>
      <c r="D88" s="101">
        <v>1150.1400000000001</v>
      </c>
      <c r="E88" s="102">
        <v>1178.98</v>
      </c>
      <c r="F88" s="102">
        <v>1377.28</v>
      </c>
      <c r="G88" s="157">
        <v>1386.94</v>
      </c>
      <c r="H88" s="101">
        <v>1354.18</v>
      </c>
      <c r="I88" s="101">
        <v>1251.6600000000001</v>
      </c>
      <c r="J88" s="101">
        <v>1551.11</v>
      </c>
      <c r="K88" s="101">
        <v>1608.71</v>
      </c>
      <c r="L88" s="101">
        <v>1250.6400000000001</v>
      </c>
      <c r="M88" s="101">
        <v>1067.3599999999999</v>
      </c>
      <c r="N88" s="158">
        <v>1060.92</v>
      </c>
    </row>
    <row r="89" spans="1:15" s="13" customFormat="1" ht="25.5" x14ac:dyDescent="0.2">
      <c r="A89" s="81"/>
      <c r="B89" s="90" t="s">
        <v>117</v>
      </c>
      <c r="C89" s="146">
        <v>1062840.8600000001</v>
      </c>
      <c r="D89" s="146">
        <v>1005852.64</v>
      </c>
      <c r="E89" s="99">
        <v>1061271.9099999999</v>
      </c>
      <c r="F89" s="99">
        <v>1054812.9099999999</v>
      </c>
      <c r="G89" s="147">
        <v>1225755.28</v>
      </c>
      <c r="H89" s="146">
        <v>1196033.42</v>
      </c>
      <c r="I89" s="146">
        <v>1199141.3</v>
      </c>
      <c r="J89" s="146">
        <v>1190677.68</v>
      </c>
      <c r="K89" s="146">
        <v>1191060.47</v>
      </c>
      <c r="L89" s="146">
        <v>1224563.2</v>
      </c>
      <c r="M89" s="146">
        <v>1233059.31</v>
      </c>
      <c r="N89" s="148">
        <v>1232300.3600000001</v>
      </c>
    </row>
    <row r="90" spans="1:15" s="13" customFormat="1" ht="26.25" thickBot="1" x14ac:dyDescent="0.25">
      <c r="A90" s="32"/>
      <c r="B90" s="93" t="s">
        <v>65</v>
      </c>
      <c r="C90" s="129">
        <f>C73</f>
        <v>1216018.8400000001</v>
      </c>
      <c r="D90" s="129">
        <f t="shared" ref="D90:N90" si="25">D73</f>
        <v>1216018.8400000001</v>
      </c>
      <c r="E90" s="130">
        <f t="shared" si="25"/>
        <v>1216018.8400000001</v>
      </c>
      <c r="F90" s="130">
        <f t="shared" si="25"/>
        <v>1216018.8400000001</v>
      </c>
      <c r="G90" s="133">
        <f t="shared" si="25"/>
        <v>1216018.8400000001</v>
      </c>
      <c r="H90" s="129">
        <f t="shared" si="25"/>
        <v>1216018.8400000001</v>
      </c>
      <c r="I90" s="129">
        <f t="shared" si="25"/>
        <v>1216018.8400000001</v>
      </c>
      <c r="J90" s="129">
        <f t="shared" si="25"/>
        <v>1216018.8400000001</v>
      </c>
      <c r="K90" s="129">
        <f t="shared" si="25"/>
        <v>1216018.8400000001</v>
      </c>
      <c r="L90" s="129">
        <f t="shared" si="25"/>
        <v>1400853.7</v>
      </c>
      <c r="M90" s="129">
        <f t="shared" si="25"/>
        <v>1400853.7</v>
      </c>
      <c r="N90" s="134">
        <f t="shared" si="25"/>
        <v>1400853.7</v>
      </c>
    </row>
    <row r="91" spans="1:15" s="13" customFormat="1" x14ac:dyDescent="0.2">
      <c r="A91" s="45"/>
      <c r="B91" s="95"/>
      <c r="C91" s="96"/>
      <c r="D91" s="96"/>
      <c r="E91" s="97"/>
      <c r="F91" s="97"/>
      <c r="G91" s="96"/>
      <c r="H91" s="96"/>
      <c r="I91" s="96"/>
      <c r="J91" s="96"/>
      <c r="K91" s="96"/>
      <c r="L91" s="96"/>
      <c r="M91" s="96"/>
      <c r="N91" s="96"/>
    </row>
    <row r="92" spans="1:15" s="13" customFormat="1" x14ac:dyDescent="0.2">
      <c r="A92" s="45"/>
      <c r="B92" s="95"/>
      <c r="C92" s="96"/>
      <c r="D92" s="96"/>
      <c r="E92" s="97"/>
      <c r="F92" s="97"/>
      <c r="G92" s="96"/>
      <c r="H92" s="96"/>
      <c r="I92" s="96"/>
      <c r="J92" s="96"/>
      <c r="K92" s="96"/>
      <c r="L92" s="96"/>
      <c r="M92" s="96"/>
      <c r="N92" s="96"/>
    </row>
    <row r="93" spans="1:15" s="59" customFormat="1" ht="21" customHeight="1" thickBot="1" x14ac:dyDescent="0.25">
      <c r="A93" s="7" t="s">
        <v>100</v>
      </c>
      <c r="B93" s="7"/>
      <c r="C93" s="7"/>
      <c r="D93" s="7"/>
      <c r="E93" s="7"/>
      <c r="F93" s="7"/>
      <c r="G93" s="5"/>
      <c r="H93" s="5"/>
      <c r="I93" s="5"/>
      <c r="J93" s="5"/>
      <c r="K93" s="5"/>
      <c r="L93" s="6"/>
      <c r="M93" s="6"/>
      <c r="N93" s="6"/>
    </row>
    <row r="94" spans="1:15" s="13" customFormat="1" ht="24" customHeight="1" thickBot="1" x14ac:dyDescent="0.25">
      <c r="A94" s="49" t="s">
        <v>0</v>
      </c>
      <c r="B94" s="50" t="s">
        <v>1</v>
      </c>
      <c r="C94" s="51" t="s">
        <v>17</v>
      </c>
      <c r="D94" s="51" t="s">
        <v>18</v>
      </c>
      <c r="E94" s="51" t="s">
        <v>19</v>
      </c>
      <c r="F94" s="51" t="s">
        <v>20</v>
      </c>
      <c r="G94" s="51" t="s">
        <v>21</v>
      </c>
      <c r="H94" s="51" t="s">
        <v>22</v>
      </c>
      <c r="I94" s="51" t="s">
        <v>23</v>
      </c>
      <c r="J94" s="51" t="s">
        <v>24</v>
      </c>
      <c r="K94" s="51" t="s">
        <v>25</v>
      </c>
      <c r="L94" s="51" t="s">
        <v>26</v>
      </c>
      <c r="M94" s="51" t="s">
        <v>27</v>
      </c>
      <c r="N94" s="52" t="s">
        <v>28</v>
      </c>
    </row>
    <row r="95" spans="1:15" s="17" customFormat="1" ht="21" customHeight="1" thickBot="1" x14ac:dyDescent="0.25">
      <c r="A95" s="14" t="s">
        <v>31</v>
      </c>
      <c r="B95" s="15" t="s">
        <v>5</v>
      </c>
      <c r="C95" s="73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2"/>
      <c r="O95" s="44"/>
    </row>
    <row r="96" spans="1:15" s="17" customFormat="1" ht="14.25" customHeight="1" thickBot="1" x14ac:dyDescent="0.25">
      <c r="A96" s="18" t="s">
        <v>32</v>
      </c>
      <c r="B96" s="78" t="s">
        <v>7</v>
      </c>
      <c r="C96" s="20"/>
      <c r="D96" s="20"/>
      <c r="E96" s="21"/>
      <c r="F96" s="21"/>
      <c r="G96" s="63"/>
      <c r="H96" s="21"/>
      <c r="I96" s="21"/>
      <c r="J96" s="21"/>
      <c r="K96" s="21"/>
      <c r="L96" s="21"/>
      <c r="M96" s="21"/>
      <c r="N96" s="22"/>
      <c r="O96" s="61"/>
    </row>
    <row r="97" spans="1:15" s="13" customFormat="1" ht="14.25" customHeight="1" x14ac:dyDescent="0.2">
      <c r="A97" s="80"/>
      <c r="B97" s="86" t="s">
        <v>61</v>
      </c>
      <c r="C97" s="155">
        <f>SUM(C98:C101)</f>
        <v>2535.2429999999999</v>
      </c>
      <c r="D97" s="155">
        <f t="shared" ref="D97:N97" si="26">SUM(D98:D101)</f>
        <v>2732.3229999999999</v>
      </c>
      <c r="E97" s="156">
        <f t="shared" si="26"/>
        <v>2740.9929999999999</v>
      </c>
      <c r="F97" s="156">
        <f t="shared" si="26"/>
        <v>2705.3229999999999</v>
      </c>
      <c r="G97" s="156">
        <f t="shared" si="26"/>
        <v>2683.0929999999998</v>
      </c>
      <c r="H97" s="156">
        <f t="shared" si="26"/>
        <v>2694.123</v>
      </c>
      <c r="I97" s="156">
        <f t="shared" si="26"/>
        <v>2949.7930000000001</v>
      </c>
      <c r="J97" s="156">
        <f t="shared" si="26"/>
        <v>2976.3530000000001</v>
      </c>
      <c r="K97" s="156">
        <f t="shared" si="26"/>
        <v>2925.1030000000001</v>
      </c>
      <c r="L97" s="156">
        <f t="shared" si="26"/>
        <v>3061.513530036525</v>
      </c>
      <c r="M97" s="156">
        <f t="shared" si="26"/>
        <v>3114.3935300365251</v>
      </c>
      <c r="N97" s="156">
        <f t="shared" si="26"/>
        <v>3065.533530036525</v>
      </c>
      <c r="O97" s="61"/>
    </row>
    <row r="98" spans="1:15" s="13" customFormat="1" ht="15" customHeight="1" x14ac:dyDescent="0.2">
      <c r="A98" s="29"/>
      <c r="B98" s="89" t="s">
        <v>101</v>
      </c>
      <c r="C98" s="101">
        <v>2190.75</v>
      </c>
      <c r="D98" s="101">
        <v>2387.83</v>
      </c>
      <c r="E98" s="102">
        <v>2396.5</v>
      </c>
      <c r="F98" s="102">
        <v>2360.83</v>
      </c>
      <c r="G98" s="157">
        <v>2338.6</v>
      </c>
      <c r="H98" s="101">
        <v>2349.63</v>
      </c>
      <c r="I98" s="101">
        <v>2605.3000000000002</v>
      </c>
      <c r="J98" s="101">
        <v>2631.86</v>
      </c>
      <c r="K98" s="101">
        <v>2580.61</v>
      </c>
      <c r="L98" s="101">
        <v>2625.93</v>
      </c>
      <c r="M98" s="101">
        <v>2678.81</v>
      </c>
      <c r="N98" s="158">
        <v>2629.95</v>
      </c>
      <c r="O98" s="61"/>
    </row>
    <row r="99" spans="1:15" s="13" customFormat="1" ht="15" customHeight="1" x14ac:dyDescent="0.2">
      <c r="A99" s="25"/>
      <c r="B99" s="90" t="s">
        <v>64</v>
      </c>
      <c r="C99" s="114">
        <v>264.25</v>
      </c>
      <c r="D99" s="114">
        <v>264.25</v>
      </c>
      <c r="E99" s="115">
        <v>264.25</v>
      </c>
      <c r="F99" s="115">
        <v>264.25</v>
      </c>
      <c r="G99" s="116">
        <v>264.25</v>
      </c>
      <c r="H99" s="114">
        <v>264.25</v>
      </c>
      <c r="I99" s="114">
        <v>264.25</v>
      </c>
      <c r="J99" s="114">
        <v>264.25</v>
      </c>
      <c r="K99" s="114">
        <v>264.25</v>
      </c>
      <c r="L99" s="114">
        <v>304.42</v>
      </c>
      <c r="M99" s="114">
        <v>304.42</v>
      </c>
      <c r="N99" s="117">
        <v>304.42</v>
      </c>
      <c r="O99" s="61"/>
    </row>
    <row r="100" spans="1:15" s="13" customFormat="1" ht="15" customHeight="1" x14ac:dyDescent="0.2">
      <c r="A100" s="29"/>
      <c r="B100" s="89" t="s">
        <v>9</v>
      </c>
      <c r="C100" s="114">
        <v>74.88</v>
      </c>
      <c r="D100" s="114">
        <v>74.88</v>
      </c>
      <c r="E100" s="115">
        <v>74.88</v>
      </c>
      <c r="F100" s="115">
        <v>74.88</v>
      </c>
      <c r="G100" s="116">
        <v>74.88</v>
      </c>
      <c r="H100" s="114">
        <v>74.88</v>
      </c>
      <c r="I100" s="114">
        <v>74.88</v>
      </c>
      <c r="J100" s="114">
        <v>74.88</v>
      </c>
      <c r="K100" s="114">
        <v>74.88</v>
      </c>
      <c r="L100" s="114">
        <v>125.04</v>
      </c>
      <c r="M100" s="114">
        <v>125.04</v>
      </c>
      <c r="N100" s="117">
        <v>125.04</v>
      </c>
      <c r="O100" s="61"/>
    </row>
    <row r="101" spans="1:15" s="13" customFormat="1" x14ac:dyDescent="0.2">
      <c r="A101" s="81"/>
      <c r="B101" s="91" t="s">
        <v>42</v>
      </c>
      <c r="C101" s="106">
        <v>5.3629999999999995</v>
      </c>
      <c r="D101" s="106">
        <v>5.3629999999999995</v>
      </c>
      <c r="E101" s="107">
        <v>5.3629999999999995</v>
      </c>
      <c r="F101" s="107">
        <v>5.3629999999999995</v>
      </c>
      <c r="G101" s="108">
        <v>5.3629999999999995</v>
      </c>
      <c r="H101" s="106">
        <v>5.3629999999999995</v>
      </c>
      <c r="I101" s="106">
        <v>5.3629999999999995</v>
      </c>
      <c r="J101" s="106">
        <v>5.3629999999999995</v>
      </c>
      <c r="K101" s="106">
        <v>5.3629999999999995</v>
      </c>
      <c r="L101" s="106">
        <v>6.1235300365250511</v>
      </c>
      <c r="M101" s="106">
        <v>6.1235300365250511</v>
      </c>
      <c r="N101" s="109">
        <v>6.1235300365250511</v>
      </c>
      <c r="O101" s="61"/>
    </row>
    <row r="102" spans="1:15" s="13" customFormat="1" ht="25.5" x14ac:dyDescent="0.2">
      <c r="A102" s="82"/>
      <c r="B102" s="87" t="s">
        <v>118</v>
      </c>
      <c r="C102" s="118">
        <f>SUM(C103:C104)</f>
        <v>1063691.4400000002</v>
      </c>
      <c r="D102" s="118">
        <f t="shared" ref="D102:N102" si="27">SUM(D103:D104)</f>
        <v>1007002.78</v>
      </c>
      <c r="E102" s="126">
        <f t="shared" si="27"/>
        <v>1062450.8899999999</v>
      </c>
      <c r="F102" s="126">
        <f t="shared" si="27"/>
        <v>1056190.19</v>
      </c>
      <c r="G102" s="118">
        <f t="shared" si="27"/>
        <v>1227142.22</v>
      </c>
      <c r="H102" s="118">
        <f t="shared" si="27"/>
        <v>1197387.5999999999</v>
      </c>
      <c r="I102" s="118">
        <f t="shared" si="27"/>
        <v>1200392.96</v>
      </c>
      <c r="J102" s="118">
        <f t="shared" si="27"/>
        <v>1192228.79</v>
      </c>
      <c r="K102" s="118">
        <f t="shared" si="27"/>
        <v>1192669.18</v>
      </c>
      <c r="L102" s="118">
        <f t="shared" si="27"/>
        <v>1225813.8399999999</v>
      </c>
      <c r="M102" s="118">
        <f t="shared" si="27"/>
        <v>1234126.6700000002</v>
      </c>
      <c r="N102" s="127">
        <f t="shared" si="27"/>
        <v>1233361.28</v>
      </c>
    </row>
    <row r="103" spans="1:15" s="13" customFormat="1" ht="25.5" x14ac:dyDescent="0.2">
      <c r="A103" s="178"/>
      <c r="B103" s="91" t="s">
        <v>116</v>
      </c>
      <c r="C103" s="101">
        <v>850.58</v>
      </c>
      <c r="D103" s="101">
        <v>1150.1400000000001</v>
      </c>
      <c r="E103" s="102">
        <v>1178.98</v>
      </c>
      <c r="F103" s="102">
        <v>1377.28</v>
      </c>
      <c r="G103" s="157">
        <v>1386.94</v>
      </c>
      <c r="H103" s="101">
        <v>1354.18</v>
      </c>
      <c r="I103" s="101">
        <v>1251.6600000000001</v>
      </c>
      <c r="J103" s="101">
        <v>1551.11</v>
      </c>
      <c r="K103" s="101">
        <v>1608.71</v>
      </c>
      <c r="L103" s="101">
        <v>1250.6400000000001</v>
      </c>
      <c r="M103" s="101">
        <v>1067.3599999999999</v>
      </c>
      <c r="N103" s="158">
        <v>1060.92</v>
      </c>
    </row>
    <row r="104" spans="1:15" s="13" customFormat="1" ht="25.5" x14ac:dyDescent="0.2">
      <c r="A104" s="178"/>
      <c r="B104" s="90" t="s">
        <v>117</v>
      </c>
      <c r="C104" s="146">
        <v>1062840.8600000001</v>
      </c>
      <c r="D104" s="146">
        <v>1005852.64</v>
      </c>
      <c r="E104" s="99">
        <v>1061271.9099999999</v>
      </c>
      <c r="F104" s="99">
        <v>1054812.9099999999</v>
      </c>
      <c r="G104" s="147">
        <v>1225755.28</v>
      </c>
      <c r="H104" s="146">
        <v>1196033.42</v>
      </c>
      <c r="I104" s="146">
        <v>1199141.3</v>
      </c>
      <c r="J104" s="146">
        <v>1190677.68</v>
      </c>
      <c r="K104" s="146">
        <v>1191060.47</v>
      </c>
      <c r="L104" s="146">
        <v>1224563.2</v>
      </c>
      <c r="M104" s="146">
        <v>1233059.31</v>
      </c>
      <c r="N104" s="148">
        <v>1232300.3600000001</v>
      </c>
    </row>
    <row r="105" spans="1:15" s="13" customFormat="1" ht="26.25" thickBot="1" x14ac:dyDescent="0.25">
      <c r="A105" s="84"/>
      <c r="B105" s="191" t="s">
        <v>65</v>
      </c>
      <c r="C105" s="128">
        <v>1327021.72</v>
      </c>
      <c r="D105" s="129">
        <v>1327021.72</v>
      </c>
      <c r="E105" s="130">
        <v>1327021.72</v>
      </c>
      <c r="F105" s="130">
        <v>1327021.72</v>
      </c>
      <c r="G105" s="131">
        <v>1327021.72</v>
      </c>
      <c r="H105" s="128">
        <v>1327021.72</v>
      </c>
      <c r="I105" s="129">
        <v>1327021.72</v>
      </c>
      <c r="J105" s="128">
        <v>1327021.72</v>
      </c>
      <c r="K105" s="129">
        <v>1327021.72</v>
      </c>
      <c r="L105" s="128">
        <v>1528729.02</v>
      </c>
      <c r="M105" s="129">
        <v>1528729.02</v>
      </c>
      <c r="N105" s="132">
        <v>1528729.02</v>
      </c>
    </row>
    <row r="106" spans="1:15" s="13" customFormat="1" ht="26.25" thickBot="1" x14ac:dyDescent="0.25">
      <c r="A106" s="36" t="s">
        <v>33</v>
      </c>
      <c r="B106" s="37" t="s">
        <v>11</v>
      </c>
      <c r="C106" s="20"/>
      <c r="D106" s="20"/>
      <c r="E106" s="21"/>
      <c r="F106" s="21"/>
      <c r="G106" s="66"/>
      <c r="H106" s="20"/>
      <c r="I106" s="20"/>
      <c r="J106" s="20"/>
      <c r="K106" s="20"/>
      <c r="L106" s="20"/>
      <c r="M106" s="20"/>
      <c r="N106" s="55"/>
    </row>
    <row r="107" spans="1:15" s="13" customFormat="1" ht="14.25" customHeight="1" x14ac:dyDescent="0.2">
      <c r="A107" s="85"/>
      <c r="B107" s="88" t="s">
        <v>61</v>
      </c>
      <c r="C107" s="159">
        <f>SUM(C108:C110)</f>
        <v>2270.9929999999999</v>
      </c>
      <c r="D107" s="159">
        <f t="shared" ref="D107:N107" si="28">SUM(D108:D110)</f>
        <v>2468.0729999999999</v>
      </c>
      <c r="E107" s="160">
        <f t="shared" si="28"/>
        <v>2476.7429999999999</v>
      </c>
      <c r="F107" s="160">
        <f t="shared" si="28"/>
        <v>2441.0729999999999</v>
      </c>
      <c r="G107" s="160">
        <f t="shared" si="28"/>
        <v>2418.8429999999998</v>
      </c>
      <c r="H107" s="160">
        <f t="shared" si="28"/>
        <v>2429.873</v>
      </c>
      <c r="I107" s="160">
        <f t="shared" si="28"/>
        <v>2685.5430000000001</v>
      </c>
      <c r="J107" s="160">
        <f t="shared" si="28"/>
        <v>2712.1030000000001</v>
      </c>
      <c r="K107" s="160">
        <f t="shared" si="28"/>
        <v>2660.8530000000001</v>
      </c>
      <c r="L107" s="160">
        <f t="shared" si="28"/>
        <v>2757.093530036525</v>
      </c>
      <c r="M107" s="160">
        <f t="shared" si="28"/>
        <v>2809.9735300365251</v>
      </c>
      <c r="N107" s="161">
        <f t="shared" si="28"/>
        <v>2761.1135300365249</v>
      </c>
    </row>
    <row r="108" spans="1:15" s="13" customFormat="1" ht="15" customHeight="1" x14ac:dyDescent="0.2">
      <c r="A108" s="25"/>
      <c r="B108" s="89" t="s">
        <v>101</v>
      </c>
      <c r="C108" s="101">
        <f t="shared" ref="C108:N108" si="29">C98</f>
        <v>2190.75</v>
      </c>
      <c r="D108" s="101">
        <f t="shared" si="29"/>
        <v>2387.83</v>
      </c>
      <c r="E108" s="102">
        <f t="shared" si="29"/>
        <v>2396.5</v>
      </c>
      <c r="F108" s="102">
        <f t="shared" si="29"/>
        <v>2360.83</v>
      </c>
      <c r="G108" s="157">
        <f t="shared" si="29"/>
        <v>2338.6</v>
      </c>
      <c r="H108" s="101">
        <f t="shared" si="29"/>
        <v>2349.63</v>
      </c>
      <c r="I108" s="101">
        <f t="shared" si="29"/>
        <v>2605.3000000000002</v>
      </c>
      <c r="J108" s="101">
        <f t="shared" si="29"/>
        <v>2631.86</v>
      </c>
      <c r="K108" s="101">
        <f t="shared" si="29"/>
        <v>2580.61</v>
      </c>
      <c r="L108" s="101">
        <f t="shared" si="29"/>
        <v>2625.93</v>
      </c>
      <c r="M108" s="101">
        <f t="shared" si="29"/>
        <v>2678.81</v>
      </c>
      <c r="N108" s="158">
        <f t="shared" si="29"/>
        <v>2629.95</v>
      </c>
    </row>
    <row r="109" spans="1:15" s="13" customFormat="1" ht="15" customHeight="1" x14ac:dyDescent="0.2">
      <c r="A109" s="40"/>
      <c r="B109" s="90" t="s">
        <v>9</v>
      </c>
      <c r="C109" s="114">
        <f t="shared" ref="C109:N109" si="30">C100</f>
        <v>74.88</v>
      </c>
      <c r="D109" s="114">
        <f t="shared" si="30"/>
        <v>74.88</v>
      </c>
      <c r="E109" s="115">
        <f t="shared" si="30"/>
        <v>74.88</v>
      </c>
      <c r="F109" s="115">
        <f t="shared" si="30"/>
        <v>74.88</v>
      </c>
      <c r="G109" s="121">
        <f t="shared" si="30"/>
        <v>74.88</v>
      </c>
      <c r="H109" s="115">
        <f t="shared" si="30"/>
        <v>74.88</v>
      </c>
      <c r="I109" s="115">
        <f t="shared" si="30"/>
        <v>74.88</v>
      </c>
      <c r="J109" s="115">
        <f t="shared" si="30"/>
        <v>74.88</v>
      </c>
      <c r="K109" s="115">
        <f t="shared" si="30"/>
        <v>74.88</v>
      </c>
      <c r="L109" s="115">
        <f t="shared" si="30"/>
        <v>125.04</v>
      </c>
      <c r="M109" s="115">
        <f t="shared" si="30"/>
        <v>125.04</v>
      </c>
      <c r="N109" s="122">
        <f t="shared" si="30"/>
        <v>125.04</v>
      </c>
    </row>
    <row r="110" spans="1:15" s="13" customFormat="1" ht="15" customHeight="1" x14ac:dyDescent="0.2">
      <c r="A110" s="81"/>
      <c r="B110" s="91" t="s">
        <v>42</v>
      </c>
      <c r="C110" s="106">
        <f t="shared" ref="C110:N110" si="31">C101</f>
        <v>5.3629999999999995</v>
      </c>
      <c r="D110" s="106">
        <f t="shared" si="31"/>
        <v>5.3629999999999995</v>
      </c>
      <c r="E110" s="107">
        <f t="shared" si="31"/>
        <v>5.3629999999999995</v>
      </c>
      <c r="F110" s="107">
        <f t="shared" si="31"/>
        <v>5.3629999999999995</v>
      </c>
      <c r="G110" s="108">
        <f t="shared" si="31"/>
        <v>5.3629999999999995</v>
      </c>
      <c r="H110" s="106">
        <f t="shared" si="31"/>
        <v>5.3629999999999995</v>
      </c>
      <c r="I110" s="106">
        <f t="shared" si="31"/>
        <v>5.3629999999999995</v>
      </c>
      <c r="J110" s="106">
        <f t="shared" si="31"/>
        <v>5.3629999999999995</v>
      </c>
      <c r="K110" s="106">
        <f t="shared" si="31"/>
        <v>5.3629999999999995</v>
      </c>
      <c r="L110" s="106">
        <f t="shared" si="31"/>
        <v>6.1235300365250511</v>
      </c>
      <c r="M110" s="106">
        <f t="shared" si="31"/>
        <v>6.1235300365250511</v>
      </c>
      <c r="N110" s="109">
        <f t="shared" si="31"/>
        <v>6.1235300365250511</v>
      </c>
    </row>
    <row r="111" spans="1:15" s="13" customFormat="1" ht="25.5" x14ac:dyDescent="0.2">
      <c r="A111" s="81"/>
      <c r="B111" s="87" t="s">
        <v>118</v>
      </c>
      <c r="C111" s="118">
        <f>SUM(C112:C113)</f>
        <v>1063691.4400000002</v>
      </c>
      <c r="D111" s="118">
        <f t="shared" ref="D111:N111" si="32">SUM(D112:D113)</f>
        <v>1007002.78</v>
      </c>
      <c r="E111" s="126">
        <f t="shared" si="32"/>
        <v>1062450.8899999999</v>
      </c>
      <c r="F111" s="126">
        <f t="shared" si="32"/>
        <v>1056190.19</v>
      </c>
      <c r="G111" s="118">
        <f t="shared" si="32"/>
        <v>1227142.22</v>
      </c>
      <c r="H111" s="118">
        <f t="shared" si="32"/>
        <v>1197387.5999999999</v>
      </c>
      <c r="I111" s="118">
        <f t="shared" si="32"/>
        <v>1200392.96</v>
      </c>
      <c r="J111" s="118">
        <f t="shared" si="32"/>
        <v>1192228.79</v>
      </c>
      <c r="K111" s="118">
        <f t="shared" si="32"/>
        <v>1192669.18</v>
      </c>
      <c r="L111" s="118">
        <f t="shared" si="32"/>
        <v>1225813.8399999999</v>
      </c>
      <c r="M111" s="118">
        <f t="shared" si="32"/>
        <v>1234126.6700000002</v>
      </c>
      <c r="N111" s="127">
        <f t="shared" si="32"/>
        <v>1233361.28</v>
      </c>
    </row>
    <row r="112" spans="1:15" s="13" customFormat="1" ht="25.5" x14ac:dyDescent="0.2">
      <c r="A112" s="81"/>
      <c r="B112" s="91" t="s">
        <v>116</v>
      </c>
      <c r="C112" s="101">
        <v>850.58</v>
      </c>
      <c r="D112" s="101">
        <v>1150.1400000000001</v>
      </c>
      <c r="E112" s="102">
        <v>1178.98</v>
      </c>
      <c r="F112" s="102">
        <v>1377.28</v>
      </c>
      <c r="G112" s="157">
        <v>1386.94</v>
      </c>
      <c r="H112" s="101">
        <v>1354.18</v>
      </c>
      <c r="I112" s="101">
        <v>1251.6600000000001</v>
      </c>
      <c r="J112" s="101">
        <v>1551.11</v>
      </c>
      <c r="K112" s="101">
        <v>1608.71</v>
      </c>
      <c r="L112" s="101">
        <v>1250.6400000000001</v>
      </c>
      <c r="M112" s="101">
        <v>1067.3599999999999</v>
      </c>
      <c r="N112" s="158">
        <v>1060.92</v>
      </c>
    </row>
    <row r="113" spans="1:15" s="13" customFormat="1" ht="26.25" thickBot="1" x14ac:dyDescent="0.25">
      <c r="A113" s="32"/>
      <c r="B113" s="186" t="s">
        <v>117</v>
      </c>
      <c r="C113" s="187">
        <v>1062840.8600000001</v>
      </c>
      <c r="D113" s="187">
        <v>1005852.64</v>
      </c>
      <c r="E113" s="100">
        <v>1061271.9099999999</v>
      </c>
      <c r="F113" s="100">
        <v>1054812.9099999999</v>
      </c>
      <c r="G113" s="192">
        <v>1225755.28</v>
      </c>
      <c r="H113" s="187">
        <v>1196033.42</v>
      </c>
      <c r="I113" s="187">
        <v>1199141.3</v>
      </c>
      <c r="J113" s="187">
        <v>1190677.68</v>
      </c>
      <c r="K113" s="187">
        <v>1191060.47</v>
      </c>
      <c r="L113" s="187">
        <v>1224563.2</v>
      </c>
      <c r="M113" s="187">
        <v>1233059.31</v>
      </c>
      <c r="N113" s="188">
        <v>1232300.3600000001</v>
      </c>
    </row>
    <row r="114" spans="1:15" s="13" customFormat="1" ht="14.25" customHeight="1" thickBot="1" x14ac:dyDescent="0.25">
      <c r="A114" s="36" t="s">
        <v>92</v>
      </c>
      <c r="B114" s="37" t="s">
        <v>66</v>
      </c>
      <c r="C114" s="20"/>
      <c r="D114" s="20"/>
      <c r="E114" s="21"/>
      <c r="F114" s="21"/>
      <c r="G114" s="66"/>
      <c r="H114" s="20"/>
      <c r="I114" s="20"/>
      <c r="J114" s="20"/>
      <c r="K114" s="20"/>
      <c r="L114" s="20"/>
      <c r="M114" s="20"/>
      <c r="N114" s="55"/>
    </row>
    <row r="115" spans="1:15" s="13" customFormat="1" ht="14.25" customHeight="1" x14ac:dyDescent="0.2">
      <c r="A115" s="85"/>
      <c r="B115" s="88" t="s">
        <v>61</v>
      </c>
      <c r="C115" s="159">
        <f>SUM(C116:C118)</f>
        <v>2270.9929999999999</v>
      </c>
      <c r="D115" s="159">
        <f t="shared" ref="D115:N115" si="33">SUM(D116:D118)</f>
        <v>2468.0729999999999</v>
      </c>
      <c r="E115" s="160">
        <f t="shared" si="33"/>
        <v>2476.7429999999999</v>
      </c>
      <c r="F115" s="160">
        <f t="shared" si="33"/>
        <v>2441.0729999999999</v>
      </c>
      <c r="G115" s="160">
        <f t="shared" si="33"/>
        <v>2418.8429999999998</v>
      </c>
      <c r="H115" s="160">
        <f t="shared" si="33"/>
        <v>2429.873</v>
      </c>
      <c r="I115" s="160">
        <f t="shared" si="33"/>
        <v>2685.5430000000001</v>
      </c>
      <c r="J115" s="160">
        <f t="shared" si="33"/>
        <v>2712.1030000000001</v>
      </c>
      <c r="K115" s="160">
        <f t="shared" si="33"/>
        <v>2660.8530000000001</v>
      </c>
      <c r="L115" s="160">
        <f t="shared" si="33"/>
        <v>2757.093530036525</v>
      </c>
      <c r="M115" s="160">
        <f t="shared" si="33"/>
        <v>2809.9735300365251</v>
      </c>
      <c r="N115" s="161">
        <f t="shared" si="33"/>
        <v>2761.1135300365249</v>
      </c>
    </row>
    <row r="116" spans="1:15" s="13" customFormat="1" x14ac:dyDescent="0.2">
      <c r="A116" s="25"/>
      <c r="B116" s="89" t="s">
        <v>101</v>
      </c>
      <c r="C116" s="101">
        <f t="shared" ref="C116:N116" si="34">C98</f>
        <v>2190.75</v>
      </c>
      <c r="D116" s="101">
        <f t="shared" si="34"/>
        <v>2387.83</v>
      </c>
      <c r="E116" s="102">
        <f t="shared" si="34"/>
        <v>2396.5</v>
      </c>
      <c r="F116" s="102">
        <f t="shared" si="34"/>
        <v>2360.83</v>
      </c>
      <c r="G116" s="157">
        <f t="shared" si="34"/>
        <v>2338.6</v>
      </c>
      <c r="H116" s="101">
        <f t="shared" si="34"/>
        <v>2349.63</v>
      </c>
      <c r="I116" s="101">
        <f t="shared" si="34"/>
        <v>2605.3000000000002</v>
      </c>
      <c r="J116" s="101">
        <f t="shared" si="34"/>
        <v>2631.86</v>
      </c>
      <c r="K116" s="101">
        <f t="shared" si="34"/>
        <v>2580.61</v>
      </c>
      <c r="L116" s="101">
        <f t="shared" si="34"/>
        <v>2625.93</v>
      </c>
      <c r="M116" s="101">
        <f t="shared" si="34"/>
        <v>2678.81</v>
      </c>
      <c r="N116" s="158">
        <f t="shared" si="34"/>
        <v>2629.95</v>
      </c>
    </row>
    <row r="117" spans="1:15" s="13" customFormat="1" x14ac:dyDescent="0.2">
      <c r="A117" s="40"/>
      <c r="B117" s="90" t="s">
        <v>9</v>
      </c>
      <c r="C117" s="114">
        <f t="shared" ref="C117:N117" si="35">C100</f>
        <v>74.88</v>
      </c>
      <c r="D117" s="114">
        <f t="shared" si="35"/>
        <v>74.88</v>
      </c>
      <c r="E117" s="115">
        <f t="shared" si="35"/>
        <v>74.88</v>
      </c>
      <c r="F117" s="115">
        <f t="shared" si="35"/>
        <v>74.88</v>
      </c>
      <c r="G117" s="121">
        <f t="shared" si="35"/>
        <v>74.88</v>
      </c>
      <c r="H117" s="115">
        <f t="shared" si="35"/>
        <v>74.88</v>
      </c>
      <c r="I117" s="115">
        <f t="shared" si="35"/>
        <v>74.88</v>
      </c>
      <c r="J117" s="115">
        <f t="shared" si="35"/>
        <v>74.88</v>
      </c>
      <c r="K117" s="115">
        <f t="shared" si="35"/>
        <v>74.88</v>
      </c>
      <c r="L117" s="115">
        <f t="shared" si="35"/>
        <v>125.04</v>
      </c>
      <c r="M117" s="115">
        <f t="shared" si="35"/>
        <v>125.04</v>
      </c>
      <c r="N117" s="122">
        <f t="shared" si="35"/>
        <v>125.04</v>
      </c>
    </row>
    <row r="118" spans="1:15" s="13" customFormat="1" x14ac:dyDescent="0.2">
      <c r="A118" s="81"/>
      <c r="B118" s="91" t="s">
        <v>42</v>
      </c>
      <c r="C118" s="106">
        <f t="shared" ref="C118:N118" si="36">C101</f>
        <v>5.3629999999999995</v>
      </c>
      <c r="D118" s="106">
        <f t="shared" si="36"/>
        <v>5.3629999999999995</v>
      </c>
      <c r="E118" s="107">
        <f t="shared" si="36"/>
        <v>5.3629999999999995</v>
      </c>
      <c r="F118" s="107">
        <f t="shared" si="36"/>
        <v>5.3629999999999995</v>
      </c>
      <c r="G118" s="108">
        <f t="shared" si="36"/>
        <v>5.3629999999999995</v>
      </c>
      <c r="H118" s="106">
        <f t="shared" si="36"/>
        <v>5.3629999999999995</v>
      </c>
      <c r="I118" s="106">
        <f t="shared" si="36"/>
        <v>5.3629999999999995</v>
      </c>
      <c r="J118" s="106">
        <f t="shared" si="36"/>
        <v>5.3629999999999995</v>
      </c>
      <c r="K118" s="106">
        <f t="shared" si="36"/>
        <v>5.3629999999999995</v>
      </c>
      <c r="L118" s="106">
        <f t="shared" si="36"/>
        <v>6.1235300365250511</v>
      </c>
      <c r="M118" s="106">
        <f t="shared" si="36"/>
        <v>6.1235300365250511</v>
      </c>
      <c r="N118" s="109">
        <f t="shared" si="36"/>
        <v>6.1235300365250511</v>
      </c>
    </row>
    <row r="119" spans="1:15" s="13" customFormat="1" ht="25.5" x14ac:dyDescent="0.2">
      <c r="A119" s="25"/>
      <c r="B119" s="87" t="s">
        <v>118</v>
      </c>
      <c r="C119" s="118">
        <f>SUM(C120:C121)</f>
        <v>1063691.4400000002</v>
      </c>
      <c r="D119" s="118">
        <f t="shared" ref="D119:N119" si="37">SUM(D120:D121)</f>
        <v>1007002.78</v>
      </c>
      <c r="E119" s="126">
        <f t="shared" si="37"/>
        <v>1062450.8899999999</v>
      </c>
      <c r="F119" s="126">
        <f t="shared" si="37"/>
        <v>1056190.19</v>
      </c>
      <c r="G119" s="118">
        <f t="shared" si="37"/>
        <v>1227142.22</v>
      </c>
      <c r="H119" s="118">
        <f t="shared" si="37"/>
        <v>1197387.5999999999</v>
      </c>
      <c r="I119" s="118">
        <f t="shared" si="37"/>
        <v>1200392.96</v>
      </c>
      <c r="J119" s="118">
        <f t="shared" si="37"/>
        <v>1192228.79</v>
      </c>
      <c r="K119" s="118">
        <f t="shared" si="37"/>
        <v>1192669.18</v>
      </c>
      <c r="L119" s="118">
        <f t="shared" si="37"/>
        <v>1225813.8399999999</v>
      </c>
      <c r="M119" s="118">
        <f t="shared" si="37"/>
        <v>1234126.6700000002</v>
      </c>
      <c r="N119" s="127">
        <f t="shared" si="37"/>
        <v>1233361.28</v>
      </c>
    </row>
    <row r="120" spans="1:15" s="13" customFormat="1" ht="25.5" x14ac:dyDescent="0.2">
      <c r="A120" s="25"/>
      <c r="B120" s="91" t="s">
        <v>116</v>
      </c>
      <c r="C120" s="101">
        <v>850.58</v>
      </c>
      <c r="D120" s="101">
        <v>1150.1400000000001</v>
      </c>
      <c r="E120" s="102">
        <v>1178.98</v>
      </c>
      <c r="F120" s="102">
        <v>1377.28</v>
      </c>
      <c r="G120" s="157">
        <v>1386.94</v>
      </c>
      <c r="H120" s="101">
        <v>1354.18</v>
      </c>
      <c r="I120" s="101">
        <v>1251.6600000000001</v>
      </c>
      <c r="J120" s="101">
        <v>1551.11</v>
      </c>
      <c r="K120" s="101">
        <v>1608.71</v>
      </c>
      <c r="L120" s="101">
        <v>1250.6400000000001</v>
      </c>
      <c r="M120" s="101">
        <v>1067.3599999999999</v>
      </c>
      <c r="N120" s="158">
        <v>1060.92</v>
      </c>
    </row>
    <row r="121" spans="1:15" s="13" customFormat="1" ht="25.5" x14ac:dyDescent="0.2">
      <c r="A121" s="25"/>
      <c r="B121" s="90" t="s">
        <v>117</v>
      </c>
      <c r="C121" s="146">
        <v>1062840.8600000001</v>
      </c>
      <c r="D121" s="146">
        <v>1005852.64</v>
      </c>
      <c r="E121" s="99">
        <v>1061271.9099999999</v>
      </c>
      <c r="F121" s="99">
        <v>1054812.9099999999</v>
      </c>
      <c r="G121" s="147">
        <v>1225755.28</v>
      </c>
      <c r="H121" s="146">
        <v>1196033.42</v>
      </c>
      <c r="I121" s="146">
        <v>1199141.3</v>
      </c>
      <c r="J121" s="146">
        <v>1190677.68</v>
      </c>
      <c r="K121" s="146">
        <v>1191060.47</v>
      </c>
      <c r="L121" s="146">
        <v>1224563.2</v>
      </c>
      <c r="M121" s="146">
        <v>1233059.31</v>
      </c>
      <c r="N121" s="148">
        <v>1232300.3600000001</v>
      </c>
    </row>
    <row r="122" spans="1:15" s="13" customFormat="1" ht="26.25" thickBot="1" x14ac:dyDescent="0.25">
      <c r="A122" s="41"/>
      <c r="B122" s="93" t="s">
        <v>65</v>
      </c>
      <c r="C122" s="129">
        <f>C105</f>
        <v>1327021.72</v>
      </c>
      <c r="D122" s="129">
        <f t="shared" ref="D122:N122" si="38">D105</f>
        <v>1327021.72</v>
      </c>
      <c r="E122" s="130">
        <f t="shared" si="38"/>
        <v>1327021.72</v>
      </c>
      <c r="F122" s="130">
        <f t="shared" si="38"/>
        <v>1327021.72</v>
      </c>
      <c r="G122" s="133">
        <f t="shared" si="38"/>
        <v>1327021.72</v>
      </c>
      <c r="H122" s="129">
        <f t="shared" si="38"/>
        <v>1327021.72</v>
      </c>
      <c r="I122" s="129">
        <f t="shared" si="38"/>
        <v>1327021.72</v>
      </c>
      <c r="J122" s="129">
        <f t="shared" si="38"/>
        <v>1327021.72</v>
      </c>
      <c r="K122" s="129">
        <f t="shared" si="38"/>
        <v>1327021.72</v>
      </c>
      <c r="L122" s="129">
        <f t="shared" si="38"/>
        <v>1528729.02</v>
      </c>
      <c r="M122" s="129">
        <f t="shared" si="38"/>
        <v>1528729.02</v>
      </c>
      <c r="N122" s="134">
        <f t="shared" si="38"/>
        <v>1528729.02</v>
      </c>
    </row>
    <row r="123" spans="1:15" s="13" customFormat="1" x14ac:dyDescent="0.2">
      <c r="A123" s="45"/>
      <c r="B123" s="95"/>
      <c r="C123" s="96"/>
      <c r="D123" s="96"/>
      <c r="E123" s="97"/>
      <c r="F123" s="97"/>
      <c r="G123" s="96"/>
      <c r="H123" s="96"/>
      <c r="I123" s="96"/>
      <c r="J123" s="96"/>
      <c r="K123" s="96"/>
      <c r="L123" s="96"/>
      <c r="M123" s="96"/>
      <c r="N123" s="96"/>
    </row>
    <row r="124" spans="1:15" s="13" customFormat="1" x14ac:dyDescent="0.2">
      <c r="A124" s="45"/>
      <c r="B124" s="95"/>
      <c r="C124" s="96"/>
      <c r="D124" s="96"/>
      <c r="E124" s="97"/>
      <c r="F124" s="97"/>
      <c r="G124" s="96"/>
      <c r="H124" s="96"/>
      <c r="I124" s="96"/>
      <c r="J124" s="96"/>
      <c r="K124" s="96"/>
      <c r="L124" s="96"/>
      <c r="M124" s="96"/>
      <c r="N124" s="96"/>
    </row>
    <row r="125" spans="1:15" s="59" customFormat="1" ht="21" customHeight="1" thickBot="1" x14ac:dyDescent="0.25">
      <c r="A125" s="7" t="s">
        <v>97</v>
      </c>
      <c r="B125" s="7"/>
      <c r="C125" s="7"/>
      <c r="D125" s="7"/>
      <c r="E125" s="7"/>
      <c r="F125" s="7"/>
      <c r="G125" s="5"/>
      <c r="H125" s="5"/>
      <c r="I125" s="5"/>
      <c r="J125" s="5"/>
      <c r="K125" s="5"/>
      <c r="L125" s="6"/>
      <c r="M125" s="6"/>
      <c r="N125" s="6"/>
    </row>
    <row r="126" spans="1:15" s="13" customFormat="1" ht="24" customHeight="1" thickBot="1" x14ac:dyDescent="0.25">
      <c r="A126" s="49" t="s">
        <v>0</v>
      </c>
      <c r="B126" s="50" t="s">
        <v>1</v>
      </c>
      <c r="C126" s="51" t="s">
        <v>17</v>
      </c>
      <c r="D126" s="51" t="s">
        <v>18</v>
      </c>
      <c r="E126" s="51" t="s">
        <v>19</v>
      </c>
      <c r="F126" s="51" t="s">
        <v>20</v>
      </c>
      <c r="G126" s="51" t="s">
        <v>21</v>
      </c>
      <c r="H126" s="51" t="s">
        <v>22</v>
      </c>
      <c r="I126" s="51" t="s">
        <v>23</v>
      </c>
      <c r="J126" s="51" t="s">
        <v>24</v>
      </c>
      <c r="K126" s="51" t="s">
        <v>25</v>
      </c>
      <c r="L126" s="51" t="s">
        <v>26</v>
      </c>
      <c r="M126" s="51" t="s">
        <v>27</v>
      </c>
      <c r="N126" s="52" t="s">
        <v>28</v>
      </c>
    </row>
    <row r="127" spans="1:15" s="17" customFormat="1" ht="21" customHeight="1" thickBot="1" x14ac:dyDescent="0.25">
      <c r="A127" s="14" t="s">
        <v>34</v>
      </c>
      <c r="B127" s="15" t="s">
        <v>5</v>
      </c>
      <c r="C127" s="73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2"/>
      <c r="O127" s="44"/>
    </row>
    <row r="128" spans="1:15" s="17" customFormat="1" ht="14.25" customHeight="1" thickBot="1" x14ac:dyDescent="0.25">
      <c r="A128" s="18" t="s">
        <v>35</v>
      </c>
      <c r="B128" s="78" t="s">
        <v>7</v>
      </c>
      <c r="C128" s="20"/>
      <c r="D128" s="20"/>
      <c r="E128" s="21"/>
      <c r="F128" s="21"/>
      <c r="G128" s="63"/>
      <c r="H128" s="21"/>
      <c r="I128" s="21"/>
      <c r="J128" s="21"/>
      <c r="K128" s="21"/>
      <c r="L128" s="21"/>
      <c r="M128" s="21"/>
      <c r="N128" s="22"/>
      <c r="O128" s="61"/>
    </row>
    <row r="129" spans="1:15" s="17" customFormat="1" ht="14.25" customHeight="1" x14ac:dyDescent="0.2">
      <c r="A129" s="83"/>
      <c r="B129" s="86" t="s">
        <v>61</v>
      </c>
      <c r="C129" s="155">
        <f>SUM(C130:C133)</f>
        <v>2799.6329999999998</v>
      </c>
      <c r="D129" s="155">
        <f t="shared" ref="D129:N129" si="39">SUM(D130:D133)</f>
        <v>2996.7129999999997</v>
      </c>
      <c r="E129" s="156">
        <f t="shared" si="39"/>
        <v>3005.3829999999998</v>
      </c>
      <c r="F129" s="156">
        <f t="shared" si="39"/>
        <v>2969.7129999999997</v>
      </c>
      <c r="G129" s="156">
        <f t="shared" si="39"/>
        <v>2947.4829999999997</v>
      </c>
      <c r="H129" s="156">
        <f t="shared" si="39"/>
        <v>2958.5129999999999</v>
      </c>
      <c r="I129" s="156">
        <f t="shared" si="39"/>
        <v>3214.183</v>
      </c>
      <c r="J129" s="156">
        <f t="shared" si="39"/>
        <v>3240.7429999999999</v>
      </c>
      <c r="K129" s="156">
        <f t="shared" si="39"/>
        <v>3189.4929999999999</v>
      </c>
      <c r="L129" s="156">
        <f t="shared" si="39"/>
        <v>3366.0835300365252</v>
      </c>
      <c r="M129" s="156">
        <f t="shared" si="39"/>
        <v>3418.9635300365253</v>
      </c>
      <c r="N129" s="162">
        <f t="shared" si="39"/>
        <v>3370.1035300365247</v>
      </c>
      <c r="O129" s="61"/>
    </row>
    <row r="130" spans="1:15" s="13" customFormat="1" ht="15" customHeight="1" x14ac:dyDescent="0.2">
      <c r="A130" s="29"/>
      <c r="B130" s="89" t="s">
        <v>101</v>
      </c>
      <c r="C130" s="101">
        <v>2190.75</v>
      </c>
      <c r="D130" s="101">
        <v>2387.83</v>
      </c>
      <c r="E130" s="102">
        <v>2396.5</v>
      </c>
      <c r="F130" s="102">
        <v>2360.83</v>
      </c>
      <c r="G130" s="157">
        <v>2338.6</v>
      </c>
      <c r="H130" s="101">
        <v>2349.63</v>
      </c>
      <c r="I130" s="101">
        <v>2605.3000000000002</v>
      </c>
      <c r="J130" s="101">
        <v>2631.86</v>
      </c>
      <c r="K130" s="101">
        <v>2580.61</v>
      </c>
      <c r="L130" s="101">
        <v>2625.93</v>
      </c>
      <c r="M130" s="101">
        <v>2678.81</v>
      </c>
      <c r="N130" s="158">
        <v>2629.95</v>
      </c>
      <c r="O130" s="61"/>
    </row>
    <row r="131" spans="1:15" s="13" customFormat="1" ht="15" customHeight="1" x14ac:dyDescent="0.2">
      <c r="A131" s="25"/>
      <c r="B131" s="90" t="s">
        <v>64</v>
      </c>
      <c r="C131" s="114">
        <v>528.64</v>
      </c>
      <c r="D131" s="114">
        <v>528.64</v>
      </c>
      <c r="E131" s="115">
        <v>528.64</v>
      </c>
      <c r="F131" s="115">
        <v>528.64</v>
      </c>
      <c r="G131" s="116">
        <v>528.64</v>
      </c>
      <c r="H131" s="114">
        <v>528.64</v>
      </c>
      <c r="I131" s="114">
        <v>528.64</v>
      </c>
      <c r="J131" s="114">
        <v>528.64</v>
      </c>
      <c r="K131" s="114">
        <v>528.64</v>
      </c>
      <c r="L131" s="114">
        <v>608.99</v>
      </c>
      <c r="M131" s="114">
        <v>608.99</v>
      </c>
      <c r="N131" s="117">
        <v>608.99</v>
      </c>
      <c r="O131" s="61"/>
    </row>
    <row r="132" spans="1:15" s="13" customFormat="1" ht="15" customHeight="1" x14ac:dyDescent="0.2">
      <c r="A132" s="29"/>
      <c r="B132" s="89" t="s">
        <v>9</v>
      </c>
      <c r="C132" s="114">
        <v>74.88</v>
      </c>
      <c r="D132" s="114">
        <v>74.88</v>
      </c>
      <c r="E132" s="115">
        <v>74.88</v>
      </c>
      <c r="F132" s="115">
        <v>74.88</v>
      </c>
      <c r="G132" s="116">
        <v>74.88</v>
      </c>
      <c r="H132" s="114">
        <v>74.88</v>
      </c>
      <c r="I132" s="114">
        <v>74.88</v>
      </c>
      <c r="J132" s="114">
        <v>74.88</v>
      </c>
      <c r="K132" s="114">
        <v>74.88</v>
      </c>
      <c r="L132" s="114">
        <v>125.04</v>
      </c>
      <c r="M132" s="114">
        <v>125.04</v>
      </c>
      <c r="N132" s="117">
        <v>125.04</v>
      </c>
      <c r="O132" s="61"/>
    </row>
    <row r="133" spans="1:15" s="13" customFormat="1" ht="15" customHeight="1" x14ac:dyDescent="0.2">
      <c r="A133" s="81"/>
      <c r="B133" s="91" t="s">
        <v>42</v>
      </c>
      <c r="C133" s="106">
        <v>5.3629999999999995</v>
      </c>
      <c r="D133" s="106">
        <v>5.3629999999999995</v>
      </c>
      <c r="E133" s="107">
        <v>5.3629999999999995</v>
      </c>
      <c r="F133" s="107">
        <v>5.3629999999999995</v>
      </c>
      <c r="G133" s="108">
        <v>5.3629999999999995</v>
      </c>
      <c r="H133" s="106">
        <v>5.3629999999999995</v>
      </c>
      <c r="I133" s="106">
        <v>5.3629999999999995</v>
      </c>
      <c r="J133" s="106">
        <v>5.3629999999999995</v>
      </c>
      <c r="K133" s="106">
        <v>5.3629999999999995</v>
      </c>
      <c r="L133" s="106">
        <v>6.1235300365250511</v>
      </c>
      <c r="M133" s="106">
        <v>6.1235300365250511</v>
      </c>
      <c r="N133" s="109">
        <v>6.1235300365250511</v>
      </c>
      <c r="O133" s="61"/>
    </row>
    <row r="134" spans="1:15" s="13" customFormat="1" ht="25.5" x14ac:dyDescent="0.2">
      <c r="A134" s="25"/>
      <c r="B134" s="87" t="s">
        <v>118</v>
      </c>
      <c r="C134" s="118">
        <f>SUM(C135:C136)</f>
        <v>1063691.4400000002</v>
      </c>
      <c r="D134" s="118">
        <f t="shared" ref="D134:N134" si="40">SUM(D135:D136)</f>
        <v>1007002.78</v>
      </c>
      <c r="E134" s="126">
        <f t="shared" si="40"/>
        <v>1062450.8899999999</v>
      </c>
      <c r="F134" s="126">
        <f t="shared" si="40"/>
        <v>1056190.19</v>
      </c>
      <c r="G134" s="118">
        <f t="shared" si="40"/>
        <v>1227142.22</v>
      </c>
      <c r="H134" s="118">
        <f t="shared" si="40"/>
        <v>1197387.5999999999</v>
      </c>
      <c r="I134" s="118">
        <f t="shared" si="40"/>
        <v>1200392.96</v>
      </c>
      <c r="J134" s="118">
        <f t="shared" si="40"/>
        <v>1192228.79</v>
      </c>
      <c r="K134" s="118">
        <f t="shared" si="40"/>
        <v>1192669.18</v>
      </c>
      <c r="L134" s="118">
        <f t="shared" si="40"/>
        <v>1225813.8399999999</v>
      </c>
      <c r="M134" s="118">
        <f t="shared" si="40"/>
        <v>1234126.6700000002</v>
      </c>
      <c r="N134" s="127">
        <f t="shared" si="40"/>
        <v>1233361.28</v>
      </c>
      <c r="O134" s="61"/>
    </row>
    <row r="135" spans="1:15" s="13" customFormat="1" ht="25.5" x14ac:dyDescent="0.2">
      <c r="A135" s="29"/>
      <c r="B135" s="91" t="s">
        <v>116</v>
      </c>
      <c r="C135" s="101">
        <v>850.58</v>
      </c>
      <c r="D135" s="101">
        <v>1150.1400000000001</v>
      </c>
      <c r="E135" s="102">
        <v>1178.98</v>
      </c>
      <c r="F135" s="102">
        <v>1377.28</v>
      </c>
      <c r="G135" s="157">
        <v>1386.94</v>
      </c>
      <c r="H135" s="101">
        <v>1354.18</v>
      </c>
      <c r="I135" s="101">
        <v>1251.6600000000001</v>
      </c>
      <c r="J135" s="101">
        <v>1551.11</v>
      </c>
      <c r="K135" s="101">
        <v>1608.71</v>
      </c>
      <c r="L135" s="101">
        <v>1250.6400000000001</v>
      </c>
      <c r="M135" s="101">
        <v>1067.3599999999999</v>
      </c>
      <c r="N135" s="158">
        <v>1060.92</v>
      </c>
      <c r="O135" s="61"/>
    </row>
    <row r="136" spans="1:15" s="13" customFormat="1" ht="25.5" x14ac:dyDescent="0.2">
      <c r="A136" s="81"/>
      <c r="B136" s="90" t="s">
        <v>117</v>
      </c>
      <c r="C136" s="146">
        <v>1062840.8600000001</v>
      </c>
      <c r="D136" s="146">
        <v>1005852.64</v>
      </c>
      <c r="E136" s="99">
        <v>1061271.9099999999</v>
      </c>
      <c r="F136" s="99">
        <v>1054812.9099999999</v>
      </c>
      <c r="G136" s="147">
        <v>1225755.28</v>
      </c>
      <c r="H136" s="146">
        <v>1196033.42</v>
      </c>
      <c r="I136" s="146">
        <v>1199141.3</v>
      </c>
      <c r="J136" s="146">
        <v>1190677.68</v>
      </c>
      <c r="K136" s="146">
        <v>1191060.47</v>
      </c>
      <c r="L136" s="146">
        <v>1224563.2</v>
      </c>
      <c r="M136" s="146">
        <v>1233059.31</v>
      </c>
      <c r="N136" s="148">
        <v>1232300.3600000001</v>
      </c>
      <c r="O136" s="61"/>
    </row>
    <row r="137" spans="1:15" s="13" customFormat="1" ht="26.25" thickBot="1" x14ac:dyDescent="0.25">
      <c r="A137" s="32"/>
      <c r="B137" s="191" t="s">
        <v>65</v>
      </c>
      <c r="C137" s="128">
        <v>1661213.17</v>
      </c>
      <c r="D137" s="129">
        <v>1661213.17</v>
      </c>
      <c r="E137" s="130">
        <v>1661213.17</v>
      </c>
      <c r="F137" s="130">
        <v>1661213.17</v>
      </c>
      <c r="G137" s="131">
        <v>1661213.17</v>
      </c>
      <c r="H137" s="128">
        <v>1661213.17</v>
      </c>
      <c r="I137" s="129">
        <v>1661213.17</v>
      </c>
      <c r="J137" s="128">
        <v>1661213.17</v>
      </c>
      <c r="K137" s="129">
        <v>1661213.17</v>
      </c>
      <c r="L137" s="128">
        <v>1913717.57</v>
      </c>
      <c r="M137" s="129">
        <v>1913717.57</v>
      </c>
      <c r="N137" s="132">
        <v>1913717.57</v>
      </c>
      <c r="O137" s="61"/>
    </row>
    <row r="138" spans="1:15" s="13" customFormat="1" ht="26.25" customHeight="1" thickBot="1" x14ac:dyDescent="0.25">
      <c r="A138" s="36" t="s">
        <v>36</v>
      </c>
      <c r="B138" s="37" t="s">
        <v>11</v>
      </c>
      <c r="C138" s="20"/>
      <c r="D138" s="20"/>
      <c r="E138" s="21"/>
      <c r="F138" s="21"/>
      <c r="G138" s="66"/>
      <c r="H138" s="20"/>
      <c r="I138" s="20"/>
      <c r="J138" s="20"/>
      <c r="K138" s="20"/>
      <c r="L138" s="20"/>
      <c r="M138" s="20"/>
      <c r="N138" s="55"/>
      <c r="O138" s="61"/>
    </row>
    <row r="139" spans="1:15" s="13" customFormat="1" ht="14.25" customHeight="1" x14ac:dyDescent="0.2">
      <c r="A139" s="85"/>
      <c r="B139" s="88" t="s">
        <v>61</v>
      </c>
      <c r="C139" s="159">
        <f>SUM(C140:C142)</f>
        <v>2270.9929999999999</v>
      </c>
      <c r="D139" s="159">
        <f t="shared" ref="D139:N139" si="41">SUM(D140:D142)</f>
        <v>2468.0729999999999</v>
      </c>
      <c r="E139" s="160">
        <f t="shared" si="41"/>
        <v>2476.7429999999999</v>
      </c>
      <c r="F139" s="160">
        <f t="shared" si="41"/>
        <v>2441.0729999999999</v>
      </c>
      <c r="G139" s="160">
        <f t="shared" si="41"/>
        <v>2418.8429999999998</v>
      </c>
      <c r="H139" s="160">
        <f t="shared" si="41"/>
        <v>2429.873</v>
      </c>
      <c r="I139" s="160">
        <f t="shared" si="41"/>
        <v>2685.5430000000001</v>
      </c>
      <c r="J139" s="160">
        <f t="shared" si="41"/>
        <v>2712.1030000000001</v>
      </c>
      <c r="K139" s="160">
        <f t="shared" si="41"/>
        <v>2660.8530000000001</v>
      </c>
      <c r="L139" s="160">
        <f t="shared" si="41"/>
        <v>2757.093530036525</v>
      </c>
      <c r="M139" s="160">
        <f t="shared" si="41"/>
        <v>2809.9735300365251</v>
      </c>
      <c r="N139" s="161">
        <f t="shared" si="41"/>
        <v>2761.1135300365249</v>
      </c>
      <c r="O139" s="61"/>
    </row>
    <row r="140" spans="1:15" s="13" customFormat="1" ht="15" customHeight="1" x14ac:dyDescent="0.2">
      <c r="A140" s="25"/>
      <c r="B140" s="89" t="s">
        <v>101</v>
      </c>
      <c r="C140" s="101">
        <f t="shared" ref="C140:N140" si="42">C130</f>
        <v>2190.75</v>
      </c>
      <c r="D140" s="101">
        <f t="shared" si="42"/>
        <v>2387.83</v>
      </c>
      <c r="E140" s="102">
        <f t="shared" si="42"/>
        <v>2396.5</v>
      </c>
      <c r="F140" s="102">
        <f t="shared" si="42"/>
        <v>2360.83</v>
      </c>
      <c r="G140" s="157">
        <f t="shared" si="42"/>
        <v>2338.6</v>
      </c>
      <c r="H140" s="101">
        <f t="shared" si="42"/>
        <v>2349.63</v>
      </c>
      <c r="I140" s="101">
        <f t="shared" si="42"/>
        <v>2605.3000000000002</v>
      </c>
      <c r="J140" s="101">
        <f t="shared" si="42"/>
        <v>2631.86</v>
      </c>
      <c r="K140" s="101">
        <f t="shared" si="42"/>
        <v>2580.61</v>
      </c>
      <c r="L140" s="101">
        <f t="shared" si="42"/>
        <v>2625.93</v>
      </c>
      <c r="M140" s="101">
        <f t="shared" si="42"/>
        <v>2678.81</v>
      </c>
      <c r="N140" s="158">
        <f t="shared" si="42"/>
        <v>2629.95</v>
      </c>
    </row>
    <row r="141" spans="1:15" s="13" customFormat="1" ht="15" customHeight="1" x14ac:dyDescent="0.2">
      <c r="A141" s="40"/>
      <c r="B141" s="90" t="s">
        <v>9</v>
      </c>
      <c r="C141" s="114">
        <f t="shared" ref="C141:N141" si="43">C132</f>
        <v>74.88</v>
      </c>
      <c r="D141" s="114">
        <f t="shared" si="43"/>
        <v>74.88</v>
      </c>
      <c r="E141" s="115">
        <f t="shared" si="43"/>
        <v>74.88</v>
      </c>
      <c r="F141" s="115">
        <f t="shared" si="43"/>
        <v>74.88</v>
      </c>
      <c r="G141" s="121">
        <f t="shared" si="43"/>
        <v>74.88</v>
      </c>
      <c r="H141" s="115">
        <f t="shared" si="43"/>
        <v>74.88</v>
      </c>
      <c r="I141" s="115">
        <f t="shared" si="43"/>
        <v>74.88</v>
      </c>
      <c r="J141" s="115">
        <f t="shared" si="43"/>
        <v>74.88</v>
      </c>
      <c r="K141" s="115">
        <f t="shared" si="43"/>
        <v>74.88</v>
      </c>
      <c r="L141" s="115">
        <f t="shared" si="43"/>
        <v>125.04</v>
      </c>
      <c r="M141" s="115">
        <f t="shared" si="43"/>
        <v>125.04</v>
      </c>
      <c r="N141" s="122">
        <f t="shared" si="43"/>
        <v>125.04</v>
      </c>
    </row>
    <row r="142" spans="1:15" s="13" customFormat="1" ht="15" customHeight="1" x14ac:dyDescent="0.2">
      <c r="A142" s="81"/>
      <c r="B142" s="91" t="s">
        <v>42</v>
      </c>
      <c r="C142" s="106">
        <f t="shared" ref="C142:N142" si="44">C133</f>
        <v>5.3629999999999995</v>
      </c>
      <c r="D142" s="106">
        <f t="shared" si="44"/>
        <v>5.3629999999999995</v>
      </c>
      <c r="E142" s="107">
        <f t="shared" si="44"/>
        <v>5.3629999999999995</v>
      </c>
      <c r="F142" s="107">
        <f t="shared" si="44"/>
        <v>5.3629999999999995</v>
      </c>
      <c r="G142" s="108">
        <f t="shared" si="44"/>
        <v>5.3629999999999995</v>
      </c>
      <c r="H142" s="106">
        <f t="shared" si="44"/>
        <v>5.3629999999999995</v>
      </c>
      <c r="I142" s="106">
        <f t="shared" si="44"/>
        <v>5.3629999999999995</v>
      </c>
      <c r="J142" s="106">
        <f t="shared" si="44"/>
        <v>5.3629999999999995</v>
      </c>
      <c r="K142" s="106">
        <f t="shared" si="44"/>
        <v>5.3629999999999995</v>
      </c>
      <c r="L142" s="106">
        <f t="shared" si="44"/>
        <v>6.1235300365250511</v>
      </c>
      <c r="M142" s="106">
        <f t="shared" si="44"/>
        <v>6.1235300365250511</v>
      </c>
      <c r="N142" s="109">
        <f t="shared" si="44"/>
        <v>6.1235300365250511</v>
      </c>
    </row>
    <row r="143" spans="1:15" s="13" customFormat="1" ht="25.5" x14ac:dyDescent="0.2">
      <c r="A143" s="81"/>
      <c r="B143" s="87" t="s">
        <v>118</v>
      </c>
      <c r="C143" s="118">
        <f>SUM(C144:C145)</f>
        <v>1063691.4400000002</v>
      </c>
      <c r="D143" s="118">
        <f t="shared" ref="D143" si="45">SUM(D144:D145)</f>
        <v>1007002.78</v>
      </c>
      <c r="E143" s="126">
        <f t="shared" ref="E143" si="46">SUM(E144:E145)</f>
        <v>1062450.8899999999</v>
      </c>
      <c r="F143" s="126">
        <f t="shared" ref="F143" si="47">SUM(F144:F145)</f>
        <v>1056190.19</v>
      </c>
      <c r="G143" s="118">
        <f t="shared" ref="G143" si="48">SUM(G144:G145)</f>
        <v>1227142.22</v>
      </c>
      <c r="H143" s="118">
        <f t="shared" ref="H143" si="49">SUM(H144:H145)</f>
        <v>1197387.5999999999</v>
      </c>
      <c r="I143" s="118">
        <f t="shared" ref="I143" si="50">SUM(I144:I145)</f>
        <v>1200392.96</v>
      </c>
      <c r="J143" s="118">
        <f t="shared" ref="J143" si="51">SUM(J144:J145)</f>
        <v>1192228.79</v>
      </c>
      <c r="K143" s="118">
        <f t="shared" ref="K143" si="52">SUM(K144:K145)</f>
        <v>1192669.18</v>
      </c>
      <c r="L143" s="118">
        <f t="shared" ref="L143" si="53">SUM(L144:L145)</f>
        <v>1225813.8399999999</v>
      </c>
      <c r="M143" s="118">
        <f t="shared" ref="M143" si="54">SUM(M144:M145)</f>
        <v>1234126.6700000002</v>
      </c>
      <c r="N143" s="127">
        <f t="shared" ref="N143" si="55">SUM(N144:N145)</f>
        <v>1233361.28</v>
      </c>
    </row>
    <row r="144" spans="1:15" s="13" customFormat="1" ht="25.5" x14ac:dyDescent="0.2">
      <c r="A144" s="81"/>
      <c r="B144" s="91" t="s">
        <v>116</v>
      </c>
      <c r="C144" s="101">
        <v>850.58</v>
      </c>
      <c r="D144" s="101">
        <v>1150.1400000000001</v>
      </c>
      <c r="E144" s="102">
        <v>1178.98</v>
      </c>
      <c r="F144" s="102">
        <v>1377.28</v>
      </c>
      <c r="G144" s="157">
        <v>1386.94</v>
      </c>
      <c r="H144" s="101">
        <v>1354.18</v>
      </c>
      <c r="I144" s="101">
        <v>1251.6600000000001</v>
      </c>
      <c r="J144" s="101">
        <v>1551.11</v>
      </c>
      <c r="K144" s="101">
        <v>1608.71</v>
      </c>
      <c r="L144" s="101">
        <v>1250.6400000000001</v>
      </c>
      <c r="M144" s="101">
        <v>1067.3599999999999</v>
      </c>
      <c r="N144" s="158">
        <v>1060.92</v>
      </c>
    </row>
    <row r="145" spans="1:14" s="13" customFormat="1" ht="26.25" thickBot="1" x14ac:dyDescent="0.25">
      <c r="A145" s="32"/>
      <c r="B145" s="186" t="s">
        <v>117</v>
      </c>
      <c r="C145" s="187">
        <v>1062840.8600000001</v>
      </c>
      <c r="D145" s="187">
        <v>1005852.64</v>
      </c>
      <c r="E145" s="100">
        <v>1061271.9099999999</v>
      </c>
      <c r="F145" s="100">
        <v>1054812.9099999999</v>
      </c>
      <c r="G145" s="192">
        <v>1225755.28</v>
      </c>
      <c r="H145" s="187">
        <v>1196033.42</v>
      </c>
      <c r="I145" s="187">
        <v>1199141.3</v>
      </c>
      <c r="J145" s="187">
        <v>1190677.68</v>
      </c>
      <c r="K145" s="187">
        <v>1191060.47</v>
      </c>
      <c r="L145" s="187">
        <v>1224563.2</v>
      </c>
      <c r="M145" s="187">
        <v>1233059.31</v>
      </c>
      <c r="N145" s="188">
        <v>1232300.3600000001</v>
      </c>
    </row>
    <row r="146" spans="1:14" ht="15" customHeight="1" thickBot="1" x14ac:dyDescent="0.25">
      <c r="A146" s="36" t="s">
        <v>104</v>
      </c>
      <c r="B146" s="37" t="s">
        <v>66</v>
      </c>
      <c r="C146" s="20"/>
      <c r="D146" s="20"/>
      <c r="E146" s="21"/>
      <c r="F146" s="21"/>
      <c r="G146" s="66"/>
      <c r="H146" s="20"/>
      <c r="I146" s="20"/>
      <c r="J146" s="20"/>
      <c r="K146" s="20"/>
      <c r="L146" s="20"/>
      <c r="M146" s="20"/>
      <c r="N146" s="55"/>
    </row>
    <row r="147" spans="1:14" ht="14.25" customHeight="1" x14ac:dyDescent="0.2">
      <c r="A147" s="85"/>
      <c r="B147" s="88" t="s">
        <v>61</v>
      </c>
      <c r="C147" s="159">
        <f>SUM(C148:C150)</f>
        <v>2270.9929999999999</v>
      </c>
      <c r="D147" s="159">
        <f t="shared" ref="D147:N147" si="56">SUM(D148:D150)</f>
        <v>2468.0729999999999</v>
      </c>
      <c r="E147" s="160">
        <f t="shared" si="56"/>
        <v>2476.7429999999999</v>
      </c>
      <c r="F147" s="160">
        <f t="shared" si="56"/>
        <v>2441.0729999999999</v>
      </c>
      <c r="G147" s="160">
        <f t="shared" si="56"/>
        <v>2418.8429999999998</v>
      </c>
      <c r="H147" s="160">
        <f t="shared" si="56"/>
        <v>2429.873</v>
      </c>
      <c r="I147" s="160">
        <f t="shared" si="56"/>
        <v>2685.5430000000001</v>
      </c>
      <c r="J147" s="160">
        <f t="shared" si="56"/>
        <v>2712.1030000000001</v>
      </c>
      <c r="K147" s="160">
        <f t="shared" si="56"/>
        <v>2660.8530000000001</v>
      </c>
      <c r="L147" s="160">
        <f t="shared" si="56"/>
        <v>2757.093530036525</v>
      </c>
      <c r="M147" s="160">
        <f t="shared" si="56"/>
        <v>2809.9735300365251</v>
      </c>
      <c r="N147" s="161">
        <f t="shared" si="56"/>
        <v>2761.1135300365249</v>
      </c>
    </row>
    <row r="148" spans="1:14" ht="15" customHeight="1" x14ac:dyDescent="0.2">
      <c r="A148" s="25"/>
      <c r="B148" s="89" t="s">
        <v>101</v>
      </c>
      <c r="C148" s="101">
        <f t="shared" ref="C148:N148" si="57">C130</f>
        <v>2190.75</v>
      </c>
      <c r="D148" s="101">
        <f t="shared" si="57"/>
        <v>2387.83</v>
      </c>
      <c r="E148" s="102">
        <f t="shared" si="57"/>
        <v>2396.5</v>
      </c>
      <c r="F148" s="102">
        <f t="shared" si="57"/>
        <v>2360.83</v>
      </c>
      <c r="G148" s="157">
        <f t="shared" si="57"/>
        <v>2338.6</v>
      </c>
      <c r="H148" s="101">
        <f t="shared" si="57"/>
        <v>2349.63</v>
      </c>
      <c r="I148" s="101">
        <f t="shared" si="57"/>
        <v>2605.3000000000002</v>
      </c>
      <c r="J148" s="101">
        <f t="shared" si="57"/>
        <v>2631.86</v>
      </c>
      <c r="K148" s="101">
        <f t="shared" si="57"/>
        <v>2580.61</v>
      </c>
      <c r="L148" s="101">
        <f t="shared" si="57"/>
        <v>2625.93</v>
      </c>
      <c r="M148" s="101">
        <f t="shared" si="57"/>
        <v>2678.81</v>
      </c>
      <c r="N148" s="158">
        <f t="shared" si="57"/>
        <v>2629.95</v>
      </c>
    </row>
    <row r="149" spans="1:14" ht="15" customHeight="1" x14ac:dyDescent="0.2">
      <c r="A149" s="40"/>
      <c r="B149" s="90" t="s">
        <v>9</v>
      </c>
      <c r="C149" s="114">
        <v>74.88</v>
      </c>
      <c r="D149" s="114">
        <v>74.88</v>
      </c>
      <c r="E149" s="115">
        <v>74.88</v>
      </c>
      <c r="F149" s="115">
        <v>74.88</v>
      </c>
      <c r="G149" s="121">
        <v>74.88</v>
      </c>
      <c r="H149" s="115">
        <v>74.88</v>
      </c>
      <c r="I149" s="115">
        <v>74.88</v>
      </c>
      <c r="J149" s="115">
        <v>74.88</v>
      </c>
      <c r="K149" s="115">
        <v>74.88</v>
      </c>
      <c r="L149" s="115">
        <v>125.04</v>
      </c>
      <c r="M149" s="115">
        <v>125.04</v>
      </c>
      <c r="N149" s="122">
        <v>125.04</v>
      </c>
    </row>
    <row r="150" spans="1:14" s="13" customFormat="1" ht="15" customHeight="1" x14ac:dyDescent="0.2">
      <c r="A150" s="81"/>
      <c r="B150" s="91" t="s">
        <v>42</v>
      </c>
      <c r="C150" s="106">
        <f t="shared" ref="C150:N150" si="58">C133</f>
        <v>5.3629999999999995</v>
      </c>
      <c r="D150" s="106">
        <f t="shared" si="58"/>
        <v>5.3629999999999995</v>
      </c>
      <c r="E150" s="107">
        <f t="shared" si="58"/>
        <v>5.3629999999999995</v>
      </c>
      <c r="F150" s="107">
        <f t="shared" si="58"/>
        <v>5.3629999999999995</v>
      </c>
      <c r="G150" s="108">
        <f t="shared" si="58"/>
        <v>5.3629999999999995</v>
      </c>
      <c r="H150" s="106">
        <f t="shared" si="58"/>
        <v>5.3629999999999995</v>
      </c>
      <c r="I150" s="106">
        <f t="shared" si="58"/>
        <v>5.3629999999999995</v>
      </c>
      <c r="J150" s="106">
        <f t="shared" si="58"/>
        <v>5.3629999999999995</v>
      </c>
      <c r="K150" s="106">
        <f t="shared" si="58"/>
        <v>5.3629999999999995</v>
      </c>
      <c r="L150" s="106">
        <f t="shared" si="58"/>
        <v>6.1235300365250511</v>
      </c>
      <c r="M150" s="106">
        <f t="shared" si="58"/>
        <v>6.1235300365250511</v>
      </c>
      <c r="N150" s="109">
        <f t="shared" si="58"/>
        <v>6.1235300365250511</v>
      </c>
    </row>
    <row r="151" spans="1:14" s="13" customFormat="1" ht="25.5" x14ac:dyDescent="0.2">
      <c r="A151" s="25"/>
      <c r="B151" s="87" t="s">
        <v>118</v>
      </c>
      <c r="C151" s="118">
        <f>SUM(C152:C153)</f>
        <v>1063691.4400000002</v>
      </c>
      <c r="D151" s="118">
        <f t="shared" ref="D151:N151" si="59">SUM(D152:D153)</f>
        <v>1007002.78</v>
      </c>
      <c r="E151" s="126">
        <f t="shared" si="59"/>
        <v>1062450.8899999999</v>
      </c>
      <c r="F151" s="126">
        <f t="shared" si="59"/>
        <v>1056190.19</v>
      </c>
      <c r="G151" s="118">
        <f t="shared" si="59"/>
        <v>1227142.22</v>
      </c>
      <c r="H151" s="118">
        <f t="shared" si="59"/>
        <v>1197387.5999999999</v>
      </c>
      <c r="I151" s="118">
        <f t="shared" si="59"/>
        <v>1200392.96</v>
      </c>
      <c r="J151" s="118">
        <f t="shared" si="59"/>
        <v>1192228.79</v>
      </c>
      <c r="K151" s="118">
        <f t="shared" si="59"/>
        <v>1192669.18</v>
      </c>
      <c r="L151" s="118">
        <f t="shared" si="59"/>
        <v>1225813.8399999999</v>
      </c>
      <c r="M151" s="118">
        <f t="shared" si="59"/>
        <v>1234126.6700000002</v>
      </c>
      <c r="N151" s="127">
        <f t="shared" si="59"/>
        <v>1233361.28</v>
      </c>
    </row>
    <row r="152" spans="1:14" s="13" customFormat="1" ht="25.5" x14ac:dyDescent="0.2">
      <c r="A152" s="29"/>
      <c r="B152" s="91" t="s">
        <v>116</v>
      </c>
      <c r="C152" s="101">
        <v>850.58</v>
      </c>
      <c r="D152" s="101">
        <v>1150.1400000000001</v>
      </c>
      <c r="E152" s="102">
        <v>1178.98</v>
      </c>
      <c r="F152" s="102">
        <v>1377.28</v>
      </c>
      <c r="G152" s="157">
        <v>1386.94</v>
      </c>
      <c r="H152" s="101">
        <v>1354.18</v>
      </c>
      <c r="I152" s="101">
        <v>1251.6600000000001</v>
      </c>
      <c r="J152" s="101">
        <v>1551.11</v>
      </c>
      <c r="K152" s="101">
        <v>1608.71</v>
      </c>
      <c r="L152" s="101">
        <v>1250.6400000000001</v>
      </c>
      <c r="M152" s="101">
        <v>1067.3599999999999</v>
      </c>
      <c r="N152" s="158">
        <v>1060.92</v>
      </c>
    </row>
    <row r="153" spans="1:14" s="13" customFormat="1" ht="25.5" x14ac:dyDescent="0.2">
      <c r="A153" s="81"/>
      <c r="B153" s="90" t="s">
        <v>117</v>
      </c>
      <c r="C153" s="146">
        <v>1062840.8600000001</v>
      </c>
      <c r="D153" s="146">
        <v>1005852.64</v>
      </c>
      <c r="E153" s="99">
        <v>1061271.9099999999</v>
      </c>
      <c r="F153" s="99">
        <v>1054812.9099999999</v>
      </c>
      <c r="G153" s="147">
        <v>1225755.28</v>
      </c>
      <c r="H153" s="146">
        <v>1196033.42</v>
      </c>
      <c r="I153" s="146">
        <v>1199141.3</v>
      </c>
      <c r="J153" s="146">
        <v>1190677.68</v>
      </c>
      <c r="K153" s="146">
        <v>1191060.47</v>
      </c>
      <c r="L153" s="146">
        <v>1224563.2</v>
      </c>
      <c r="M153" s="146">
        <v>1233059.31</v>
      </c>
      <c r="N153" s="148">
        <v>1232300.3600000001</v>
      </c>
    </row>
    <row r="154" spans="1:14" ht="26.25" thickBot="1" x14ac:dyDescent="0.25">
      <c r="A154" s="32"/>
      <c r="B154" s="93" t="s">
        <v>65</v>
      </c>
      <c r="C154" s="129">
        <v>1661213.17</v>
      </c>
      <c r="D154" s="129">
        <v>1661213.17</v>
      </c>
      <c r="E154" s="130">
        <v>1661213.17</v>
      </c>
      <c r="F154" s="130">
        <v>1661213.17</v>
      </c>
      <c r="G154" s="133">
        <v>1661213.17</v>
      </c>
      <c r="H154" s="129">
        <v>1661213.17</v>
      </c>
      <c r="I154" s="129">
        <v>1661213.17</v>
      </c>
      <c r="J154" s="129">
        <v>1661213.17</v>
      </c>
      <c r="K154" s="129">
        <v>1661213.17</v>
      </c>
      <c r="L154" s="129">
        <v>1913717.57</v>
      </c>
      <c r="M154" s="129">
        <v>1913717.57</v>
      </c>
      <c r="N154" s="134">
        <v>1913717.57</v>
      </c>
    </row>
    <row r="155" spans="1:14" ht="15" customHeight="1" x14ac:dyDescent="0.2"/>
    <row r="157" spans="1:14" ht="87" customHeight="1" x14ac:dyDescent="0.2">
      <c r="A157" s="200" t="s">
        <v>114</v>
      </c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</row>
    <row r="158" spans="1:14" ht="27" customHeight="1" x14ac:dyDescent="0.2">
      <c r="A158" s="199" t="s">
        <v>115</v>
      </c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</row>
  </sheetData>
  <mergeCells count="11">
    <mergeCell ref="D11:N11"/>
    <mergeCell ref="A2:N2"/>
    <mergeCell ref="A3:N3"/>
    <mergeCell ref="A4:N4"/>
    <mergeCell ref="A5:N5"/>
    <mergeCell ref="A7:N7"/>
    <mergeCell ref="D63:N63"/>
    <mergeCell ref="D95:N95"/>
    <mergeCell ref="D127:N127"/>
    <mergeCell ref="A157:N157"/>
    <mergeCell ref="A158:N158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22529" r:id="rId4">
          <objectPr defaultSize="0" autoPict="0" r:id="rId5">
            <anchor moveWithCells="1" siz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142875</xdr:colOff>
                <xdr:row>156</xdr:row>
                <xdr:rowOff>0</xdr:rowOff>
              </to>
            </anchor>
          </objectPr>
        </oleObject>
      </mc:Choice>
      <mc:Fallback>
        <oleObject progId="Equation.3" shapeId="22529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2">
    <tabColor rgb="FFFFFF00"/>
  </sheetPr>
  <dimension ref="A1:O80"/>
  <sheetViews>
    <sheetView view="pageBreakPreview" zoomScale="85" zoomScaleNormal="80" zoomScaleSheetLayoutView="85" workbookViewId="0">
      <pane ySplit="5" topLeftCell="A6" activePane="bottomLeft" state="frozen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8.7109375" style="60" customWidth="1"/>
    <col min="16" max="19" width="9.28515625" style="60" bestFit="1" customWidth="1"/>
    <col min="20" max="20" width="9.7109375" style="60" bestFit="1" customWidth="1"/>
    <col min="21" max="24" width="9.28515625" style="60" bestFit="1" customWidth="1"/>
    <col min="25" max="25" width="9.7109375" style="60" bestFit="1" customWidth="1"/>
    <col min="26" max="29" width="9.28515625" style="60" bestFit="1" customWidth="1"/>
    <col min="30" max="30" width="9.7109375" style="60" bestFit="1" customWidth="1"/>
    <col min="31" max="33" width="9.28515625" style="60" bestFit="1" customWidth="1"/>
    <col min="34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37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5" s="58" customFormat="1" ht="34.5" customHeight="1" x14ac:dyDescent="0.25">
      <c r="A7" s="206" t="s">
        <v>59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137"/>
      <c r="C8" s="137"/>
      <c r="D8" s="137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74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135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3.5" thickBot="1" x14ac:dyDescent="0.25">
      <c r="A12" s="18" t="s">
        <v>6</v>
      </c>
      <c r="B12" s="78" t="s">
        <v>7</v>
      </c>
      <c r="C12" s="138">
        <f>C13+C14+C15+C17+C16</f>
        <v>5985.2736550378768</v>
      </c>
      <c r="D12" s="138">
        <f t="shared" ref="D12:N12" si="0">D13+D14+D15+D17+D16</f>
        <v>6359.8556716845651</v>
      </c>
      <c r="E12" s="139">
        <f t="shared" si="0"/>
        <v>6115.2743267436363</v>
      </c>
      <c r="F12" s="139">
        <f t="shared" si="0"/>
        <v>6113.2336632840843</v>
      </c>
      <c r="G12" s="140">
        <f t="shared" si="0"/>
        <v>6085.6269147585763</v>
      </c>
      <c r="H12" s="139">
        <f t="shared" si="0"/>
        <v>6238.1946472500449</v>
      </c>
      <c r="I12" s="139">
        <f t="shared" si="0"/>
        <v>6557.0177774411313</v>
      </c>
      <c r="J12" s="139">
        <f t="shared" si="0"/>
        <v>6412.3375821903555</v>
      </c>
      <c r="K12" s="139">
        <f t="shared" si="0"/>
        <v>6699.5341491395257</v>
      </c>
      <c r="L12" s="139">
        <f t="shared" si="0"/>
        <v>6935.6338860592659</v>
      </c>
      <c r="M12" s="139">
        <f t="shared" si="0"/>
        <v>7068.4227001974587</v>
      </c>
      <c r="N12" s="141">
        <f t="shared" si="0"/>
        <v>6790.9522023194004</v>
      </c>
      <c r="O12" s="61"/>
    </row>
    <row r="13" spans="1:15" s="13" customFormat="1" ht="15" customHeight="1" x14ac:dyDescent="0.2">
      <c r="A13" s="23"/>
      <c r="B13" s="24" t="s">
        <v>111</v>
      </c>
      <c r="C13" s="142">
        <f>C$73</f>
        <v>3665.7106550378771</v>
      </c>
      <c r="D13" s="142">
        <f t="shared" ref="D13:N13" si="1">D$73</f>
        <v>4039.542671684565</v>
      </c>
      <c r="E13" s="143">
        <f t="shared" si="1"/>
        <v>3795.2813267436359</v>
      </c>
      <c r="F13" s="143">
        <f t="shared" si="1"/>
        <v>3792.9206632840846</v>
      </c>
      <c r="G13" s="144">
        <f t="shared" si="1"/>
        <v>3765.5739147585764</v>
      </c>
      <c r="H13" s="142">
        <f t="shared" si="1"/>
        <v>3917.9816472500447</v>
      </c>
      <c r="I13" s="142">
        <f t="shared" si="1"/>
        <v>4236.8747774411313</v>
      </c>
      <c r="J13" s="142">
        <f t="shared" si="1"/>
        <v>4091.9945821903557</v>
      </c>
      <c r="K13" s="142">
        <f t="shared" si="1"/>
        <v>4378.6711491395254</v>
      </c>
      <c r="L13" s="142">
        <f t="shared" si="1"/>
        <v>4330.6303560227407</v>
      </c>
      <c r="M13" s="142">
        <f t="shared" si="1"/>
        <v>4463.5891701609335</v>
      </c>
      <c r="N13" s="145">
        <f t="shared" si="1"/>
        <v>4186.2986722828755</v>
      </c>
      <c r="O13" s="61"/>
    </row>
    <row r="14" spans="1:15" s="13" customFormat="1" ht="15" customHeight="1" x14ac:dyDescent="0.2">
      <c r="A14" s="25"/>
      <c r="B14" s="26" t="s">
        <v>8</v>
      </c>
      <c r="C14" s="146">
        <v>1992.63</v>
      </c>
      <c r="D14" s="146">
        <v>1992.63</v>
      </c>
      <c r="E14" s="99">
        <v>1992.63</v>
      </c>
      <c r="F14" s="99">
        <v>1992.63</v>
      </c>
      <c r="G14" s="147">
        <v>1992.63</v>
      </c>
      <c r="H14" s="146">
        <v>1992.63</v>
      </c>
      <c r="I14" s="146">
        <v>1992.63</v>
      </c>
      <c r="J14" s="146">
        <v>1992.63</v>
      </c>
      <c r="K14" s="146">
        <v>1992.63</v>
      </c>
      <c r="L14" s="146">
        <v>2232.17</v>
      </c>
      <c r="M14" s="146">
        <v>2232.17</v>
      </c>
      <c r="N14" s="148">
        <v>2232.17</v>
      </c>
      <c r="O14" s="61"/>
    </row>
    <row r="15" spans="1:15" s="13" customFormat="1" ht="15" customHeight="1" x14ac:dyDescent="0.2">
      <c r="A15" s="29"/>
      <c r="B15" s="26" t="s">
        <v>9</v>
      </c>
      <c r="C15" s="114">
        <v>320.44</v>
      </c>
      <c r="D15" s="114">
        <v>320.44</v>
      </c>
      <c r="E15" s="115">
        <v>320.44</v>
      </c>
      <c r="F15" s="115">
        <v>320.44</v>
      </c>
      <c r="G15" s="116">
        <v>320.44</v>
      </c>
      <c r="H15" s="114">
        <v>320.44</v>
      </c>
      <c r="I15" s="114">
        <v>320.44</v>
      </c>
      <c r="J15" s="114">
        <v>320.44</v>
      </c>
      <c r="K15" s="114">
        <v>320.44</v>
      </c>
      <c r="L15" s="114">
        <v>364.99</v>
      </c>
      <c r="M15" s="114">
        <v>364.99</v>
      </c>
      <c r="N15" s="117">
        <v>364.99</v>
      </c>
      <c r="O15" s="61"/>
    </row>
    <row r="16" spans="1:15" s="13" customFormat="1" ht="25.5" x14ac:dyDescent="0.2">
      <c r="A16" s="25"/>
      <c r="B16" s="30" t="s">
        <v>116</v>
      </c>
      <c r="C16" s="106">
        <v>1.1299999999999999</v>
      </c>
      <c r="D16" s="106">
        <v>1.88</v>
      </c>
      <c r="E16" s="107">
        <v>1.56</v>
      </c>
      <c r="F16" s="107">
        <v>1.88</v>
      </c>
      <c r="G16" s="108">
        <v>1.62</v>
      </c>
      <c r="H16" s="106">
        <v>1.78</v>
      </c>
      <c r="I16" s="106">
        <v>1.71</v>
      </c>
      <c r="J16" s="106">
        <v>1.91</v>
      </c>
      <c r="K16" s="106">
        <v>2.4300000000000002</v>
      </c>
      <c r="L16" s="106">
        <v>1.72</v>
      </c>
      <c r="M16" s="106">
        <v>1.55</v>
      </c>
      <c r="N16" s="109">
        <v>1.37</v>
      </c>
      <c r="O16" s="61"/>
    </row>
    <row r="17" spans="1:15" s="13" customFormat="1" ht="15" customHeight="1" thickBot="1" x14ac:dyDescent="0.25">
      <c r="A17" s="32"/>
      <c r="B17" s="33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6.25" customHeight="1" thickBot="1" x14ac:dyDescent="0.25">
      <c r="A18" s="36" t="s">
        <v>10</v>
      </c>
      <c r="B18" s="37" t="s">
        <v>11</v>
      </c>
      <c r="C18" s="138">
        <f>C19+C20+C22+C21</f>
        <v>3992.6436550378771</v>
      </c>
      <c r="D18" s="138">
        <f t="shared" ref="D18:N18" si="2">D19+D20+D22+D21</f>
        <v>4367.225671684565</v>
      </c>
      <c r="E18" s="139">
        <f t="shared" si="2"/>
        <v>4122.6443267436362</v>
      </c>
      <c r="F18" s="139">
        <f t="shared" si="2"/>
        <v>4120.6036632840851</v>
      </c>
      <c r="G18" s="149">
        <f t="shared" si="2"/>
        <v>4092.9969147585762</v>
      </c>
      <c r="H18" s="138">
        <f t="shared" si="2"/>
        <v>4245.5646472500448</v>
      </c>
      <c r="I18" s="138">
        <f t="shared" si="2"/>
        <v>4564.3877774411312</v>
      </c>
      <c r="J18" s="138">
        <f t="shared" si="2"/>
        <v>4419.7075821903554</v>
      </c>
      <c r="K18" s="138">
        <f t="shared" si="2"/>
        <v>4706.9041491395255</v>
      </c>
      <c r="L18" s="138">
        <f t="shared" si="2"/>
        <v>4703.4638860592659</v>
      </c>
      <c r="M18" s="138">
        <f t="shared" si="2"/>
        <v>4836.2527001974586</v>
      </c>
      <c r="N18" s="150">
        <f t="shared" si="2"/>
        <v>4558.7822023194003</v>
      </c>
      <c r="O18" s="61"/>
    </row>
    <row r="19" spans="1:15" s="13" customFormat="1" ht="15" customHeight="1" x14ac:dyDescent="0.2">
      <c r="A19" s="38"/>
      <c r="B19" s="39" t="s">
        <v>111</v>
      </c>
      <c r="C19" s="151">
        <f t="shared" ref="C19:N19" si="3">C13</f>
        <v>3665.7106550378771</v>
      </c>
      <c r="D19" s="151">
        <f t="shared" si="3"/>
        <v>4039.542671684565</v>
      </c>
      <c r="E19" s="152">
        <f t="shared" si="3"/>
        <v>3795.2813267436359</v>
      </c>
      <c r="F19" s="152">
        <f t="shared" si="3"/>
        <v>3792.9206632840846</v>
      </c>
      <c r="G19" s="153">
        <f t="shared" si="3"/>
        <v>3765.5739147585764</v>
      </c>
      <c r="H19" s="152">
        <f t="shared" si="3"/>
        <v>3917.9816472500447</v>
      </c>
      <c r="I19" s="152">
        <f t="shared" si="3"/>
        <v>4236.8747774411313</v>
      </c>
      <c r="J19" s="152">
        <f t="shared" si="3"/>
        <v>4091.9945821903557</v>
      </c>
      <c r="K19" s="152">
        <f t="shared" si="3"/>
        <v>4378.6711491395254</v>
      </c>
      <c r="L19" s="152">
        <f t="shared" si="3"/>
        <v>4330.6303560227407</v>
      </c>
      <c r="M19" s="152">
        <f t="shared" si="3"/>
        <v>4463.5891701609335</v>
      </c>
      <c r="N19" s="154">
        <f t="shared" si="3"/>
        <v>4186.2986722828755</v>
      </c>
    </row>
    <row r="20" spans="1:15" s="13" customFormat="1" ht="15" customHeight="1" x14ac:dyDescent="0.2">
      <c r="A20" s="40"/>
      <c r="B20" s="26" t="s">
        <v>9</v>
      </c>
      <c r="C20" s="114">
        <f t="shared" ref="C20:N20" si="4">C15</f>
        <v>320.44</v>
      </c>
      <c r="D20" s="114">
        <f t="shared" si="4"/>
        <v>320.44</v>
      </c>
      <c r="E20" s="115">
        <f t="shared" si="4"/>
        <v>320.44</v>
      </c>
      <c r="F20" s="115">
        <f t="shared" si="4"/>
        <v>320.44</v>
      </c>
      <c r="G20" s="121">
        <f t="shared" si="4"/>
        <v>320.44</v>
      </c>
      <c r="H20" s="115">
        <f t="shared" si="4"/>
        <v>320.44</v>
      </c>
      <c r="I20" s="115">
        <f t="shared" si="4"/>
        <v>320.44</v>
      </c>
      <c r="J20" s="115">
        <f t="shared" si="4"/>
        <v>320.44</v>
      </c>
      <c r="K20" s="115">
        <f t="shared" si="4"/>
        <v>320.44</v>
      </c>
      <c r="L20" s="115">
        <f t="shared" si="4"/>
        <v>364.99</v>
      </c>
      <c r="M20" s="115">
        <f t="shared" si="4"/>
        <v>364.99</v>
      </c>
      <c r="N20" s="122">
        <f t="shared" si="4"/>
        <v>364.99</v>
      </c>
    </row>
    <row r="21" spans="1:15" s="13" customFormat="1" ht="25.5" x14ac:dyDescent="0.2">
      <c r="A21" s="25"/>
      <c r="B21" s="26" t="s">
        <v>116</v>
      </c>
      <c r="C21" s="106">
        <v>1.1299999999999999</v>
      </c>
      <c r="D21" s="106">
        <v>1.88</v>
      </c>
      <c r="E21" s="107">
        <v>1.56</v>
      </c>
      <c r="F21" s="107">
        <v>1.88</v>
      </c>
      <c r="G21" s="108">
        <v>1.62</v>
      </c>
      <c r="H21" s="106">
        <v>1.78</v>
      </c>
      <c r="I21" s="106">
        <v>1.71</v>
      </c>
      <c r="J21" s="106">
        <v>1.91</v>
      </c>
      <c r="K21" s="106">
        <v>2.4300000000000002</v>
      </c>
      <c r="L21" s="106">
        <v>1.72</v>
      </c>
      <c r="M21" s="106">
        <v>1.55</v>
      </c>
      <c r="N21" s="109">
        <v>1.37</v>
      </c>
    </row>
    <row r="22" spans="1:15" s="13" customFormat="1" ht="15" customHeight="1" thickBot="1" x14ac:dyDescent="0.25">
      <c r="A22" s="41"/>
      <c r="B22" s="42" t="s">
        <v>42</v>
      </c>
      <c r="C22" s="110">
        <f t="shared" ref="C22:N22" si="5">C17</f>
        <v>5.3629999999999995</v>
      </c>
      <c r="D22" s="110">
        <f t="shared" si="5"/>
        <v>5.3629999999999995</v>
      </c>
      <c r="E22" s="111">
        <f t="shared" si="5"/>
        <v>5.3629999999999995</v>
      </c>
      <c r="F22" s="98">
        <f t="shared" si="5"/>
        <v>5.3629999999999995</v>
      </c>
      <c r="G22" s="112">
        <f t="shared" si="5"/>
        <v>5.3629999999999995</v>
      </c>
      <c r="H22" s="111">
        <f t="shared" si="5"/>
        <v>5.3629999999999995</v>
      </c>
      <c r="I22" s="111">
        <f t="shared" si="5"/>
        <v>5.3629999999999995</v>
      </c>
      <c r="J22" s="111">
        <f t="shared" si="5"/>
        <v>5.3629999999999995</v>
      </c>
      <c r="K22" s="111">
        <f t="shared" si="5"/>
        <v>5.3629999999999995</v>
      </c>
      <c r="L22" s="111">
        <f t="shared" si="5"/>
        <v>6.1235300365250511</v>
      </c>
      <c r="M22" s="111">
        <f t="shared" si="5"/>
        <v>6.1235300365250511</v>
      </c>
      <c r="N22" s="113">
        <f t="shared" si="5"/>
        <v>6.1235300365250511</v>
      </c>
    </row>
    <row r="23" spans="1:15" ht="15" customHeight="1" x14ac:dyDescent="0.2"/>
    <row r="24" spans="1:15" ht="15" customHeight="1" x14ac:dyDescent="0.2"/>
    <row r="25" spans="1:15" s="59" customFormat="1" ht="21" customHeight="1" thickBot="1" x14ac:dyDescent="0.25">
      <c r="A25" s="7" t="s">
        <v>75</v>
      </c>
      <c r="B25" s="7"/>
      <c r="C25" s="7"/>
      <c r="D25" s="7"/>
      <c r="E25" s="7"/>
      <c r="F25" s="7"/>
      <c r="G25" s="5"/>
      <c r="H25" s="5"/>
      <c r="I25" s="5"/>
      <c r="J25" s="5"/>
      <c r="K25" s="5"/>
      <c r="L25" s="6"/>
      <c r="M25" s="6"/>
      <c r="N25" s="6"/>
    </row>
    <row r="26" spans="1:15" s="13" customFormat="1" ht="24" customHeight="1" thickBot="1" x14ac:dyDescent="0.25">
      <c r="A26" s="49" t="s">
        <v>0</v>
      </c>
      <c r="B26" s="50" t="s">
        <v>1</v>
      </c>
      <c r="C26" s="51" t="s">
        <v>17</v>
      </c>
      <c r="D26" s="51" t="s">
        <v>18</v>
      </c>
      <c r="E26" s="51" t="s">
        <v>19</v>
      </c>
      <c r="F26" s="51" t="s">
        <v>20</v>
      </c>
      <c r="G26" s="51" t="s">
        <v>21</v>
      </c>
      <c r="H26" s="51" t="s">
        <v>22</v>
      </c>
      <c r="I26" s="51" t="s">
        <v>23</v>
      </c>
      <c r="J26" s="51" t="s">
        <v>24</v>
      </c>
      <c r="K26" s="51" t="s">
        <v>25</v>
      </c>
      <c r="L26" s="51" t="s">
        <v>26</v>
      </c>
      <c r="M26" s="51" t="s">
        <v>27</v>
      </c>
      <c r="N26" s="52" t="s">
        <v>28</v>
      </c>
    </row>
    <row r="27" spans="1:15" s="17" customFormat="1" ht="21" customHeight="1" thickBot="1" x14ac:dyDescent="0.25">
      <c r="A27" s="14" t="s">
        <v>14</v>
      </c>
      <c r="B27" s="15" t="s">
        <v>5</v>
      </c>
      <c r="C27" s="135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2"/>
      <c r="O27" s="44"/>
    </row>
    <row r="28" spans="1:15" s="17" customFormat="1" ht="13.5" thickBot="1" x14ac:dyDescent="0.25">
      <c r="A28" s="18" t="s">
        <v>15</v>
      </c>
      <c r="B28" s="19" t="s">
        <v>7</v>
      </c>
      <c r="C28" s="138">
        <f>C29+C30+C31+C33+C32</f>
        <v>6768.2536550378773</v>
      </c>
      <c r="D28" s="138">
        <f t="shared" ref="D28" si="6">D29+D30+D31+D33+D32</f>
        <v>7142.8356716845656</v>
      </c>
      <c r="E28" s="139">
        <f t="shared" ref="E28" si="7">E29+E30+E31+E33+E32</f>
        <v>6898.2543267436367</v>
      </c>
      <c r="F28" s="139">
        <f t="shared" ref="F28" si="8">F29+F30+F31+F33+F32</f>
        <v>6896.2136632840848</v>
      </c>
      <c r="G28" s="140">
        <f t="shared" ref="G28" si="9">G29+G30+G31+G33+G32</f>
        <v>6868.6069147585758</v>
      </c>
      <c r="H28" s="139">
        <f t="shared" ref="H28" si="10">H29+H30+H31+H33+H32</f>
        <v>7021.1746472500445</v>
      </c>
      <c r="I28" s="139">
        <f t="shared" ref="I28" si="11">I29+I30+I31+I33+I32</f>
        <v>7339.9977774411318</v>
      </c>
      <c r="J28" s="139">
        <f t="shared" ref="J28" si="12">J29+J30+J31+J33+J32</f>
        <v>7195.3175821903551</v>
      </c>
      <c r="K28" s="139">
        <f t="shared" ref="K28" si="13">K29+K30+K31+K33+K32</f>
        <v>7482.5141491395261</v>
      </c>
      <c r="L28" s="139">
        <f t="shared" ref="L28" si="14">L29+L30+L31+L33+L32</f>
        <v>8045.2938860592658</v>
      </c>
      <c r="M28" s="139">
        <f t="shared" ref="M28" si="15">M29+M30+M31+M33+M32</f>
        <v>8178.0827001974585</v>
      </c>
      <c r="N28" s="141">
        <f t="shared" ref="N28" si="16">N29+N30+N31+N33+N32</f>
        <v>7900.6122023194002</v>
      </c>
      <c r="O28" s="61"/>
    </row>
    <row r="29" spans="1:15" s="13" customFormat="1" ht="15" customHeight="1" x14ac:dyDescent="0.2">
      <c r="A29" s="23"/>
      <c r="B29" s="24" t="s">
        <v>111</v>
      </c>
      <c r="C29" s="142">
        <f>C$73</f>
        <v>3665.7106550378771</v>
      </c>
      <c r="D29" s="142">
        <f t="shared" ref="D29:N29" si="17">D$73</f>
        <v>4039.542671684565</v>
      </c>
      <c r="E29" s="143">
        <f t="shared" si="17"/>
        <v>3795.2813267436359</v>
      </c>
      <c r="F29" s="143">
        <f t="shared" si="17"/>
        <v>3792.9206632840846</v>
      </c>
      <c r="G29" s="144">
        <f t="shared" si="17"/>
        <v>3765.5739147585764</v>
      </c>
      <c r="H29" s="142">
        <f t="shared" si="17"/>
        <v>3917.9816472500447</v>
      </c>
      <c r="I29" s="142">
        <f t="shared" si="17"/>
        <v>4236.8747774411313</v>
      </c>
      <c r="J29" s="142">
        <f t="shared" si="17"/>
        <v>4091.9945821903557</v>
      </c>
      <c r="K29" s="142">
        <f t="shared" si="17"/>
        <v>4378.6711491395254</v>
      </c>
      <c r="L29" s="142">
        <f t="shared" si="17"/>
        <v>4330.6303560227407</v>
      </c>
      <c r="M29" s="142">
        <f t="shared" si="17"/>
        <v>4463.5891701609335</v>
      </c>
      <c r="N29" s="145">
        <f t="shared" si="17"/>
        <v>4186.2986722828755</v>
      </c>
      <c r="O29" s="61"/>
    </row>
    <row r="30" spans="1:15" s="13" customFormat="1" ht="15" customHeight="1" x14ac:dyDescent="0.2">
      <c r="A30" s="25"/>
      <c r="B30" s="26" t="s">
        <v>8</v>
      </c>
      <c r="C30" s="146">
        <v>2775.61</v>
      </c>
      <c r="D30" s="146">
        <v>2775.61</v>
      </c>
      <c r="E30" s="99">
        <v>2775.61</v>
      </c>
      <c r="F30" s="99">
        <v>2775.61</v>
      </c>
      <c r="G30" s="147">
        <v>2775.61</v>
      </c>
      <c r="H30" s="146">
        <v>2775.61</v>
      </c>
      <c r="I30" s="146">
        <v>2775.61</v>
      </c>
      <c r="J30" s="146">
        <v>2775.61</v>
      </c>
      <c r="K30" s="146">
        <v>2775.61</v>
      </c>
      <c r="L30" s="146">
        <v>3341.83</v>
      </c>
      <c r="M30" s="146">
        <v>3341.83</v>
      </c>
      <c r="N30" s="148">
        <v>3341.83</v>
      </c>
      <c r="O30" s="61"/>
    </row>
    <row r="31" spans="1:15" s="13" customFormat="1" ht="15" customHeight="1" x14ac:dyDescent="0.2">
      <c r="A31" s="29"/>
      <c r="B31" s="30" t="s">
        <v>9</v>
      </c>
      <c r="C31" s="114">
        <v>320.44</v>
      </c>
      <c r="D31" s="114">
        <v>320.44</v>
      </c>
      <c r="E31" s="115">
        <v>320.44</v>
      </c>
      <c r="F31" s="115">
        <v>320.44</v>
      </c>
      <c r="G31" s="116">
        <v>320.44</v>
      </c>
      <c r="H31" s="114">
        <v>320.44</v>
      </c>
      <c r="I31" s="114">
        <v>320.44</v>
      </c>
      <c r="J31" s="114">
        <v>320.44</v>
      </c>
      <c r="K31" s="114">
        <v>320.44</v>
      </c>
      <c r="L31" s="114">
        <v>364.99</v>
      </c>
      <c r="M31" s="114">
        <v>364.99</v>
      </c>
      <c r="N31" s="117">
        <v>364.99</v>
      </c>
      <c r="O31" s="61"/>
    </row>
    <row r="32" spans="1:15" s="13" customFormat="1" ht="25.5" x14ac:dyDescent="0.2">
      <c r="A32" s="25"/>
      <c r="B32" s="26" t="s">
        <v>116</v>
      </c>
      <c r="C32" s="106">
        <v>1.1299999999999999</v>
      </c>
      <c r="D32" s="106">
        <v>1.88</v>
      </c>
      <c r="E32" s="107">
        <v>1.56</v>
      </c>
      <c r="F32" s="107">
        <v>1.88</v>
      </c>
      <c r="G32" s="108">
        <v>1.62</v>
      </c>
      <c r="H32" s="106">
        <v>1.78</v>
      </c>
      <c r="I32" s="106">
        <v>1.71</v>
      </c>
      <c r="J32" s="106">
        <v>1.91</v>
      </c>
      <c r="K32" s="106">
        <v>2.4300000000000002</v>
      </c>
      <c r="L32" s="106">
        <v>1.72</v>
      </c>
      <c r="M32" s="106">
        <v>1.55</v>
      </c>
      <c r="N32" s="109">
        <v>1.37</v>
      </c>
      <c r="O32" s="61"/>
    </row>
    <row r="33" spans="1:15" s="13" customFormat="1" ht="15" customHeight="1" thickBot="1" x14ac:dyDescent="0.25">
      <c r="A33" s="32"/>
      <c r="B33" s="33" t="s">
        <v>42</v>
      </c>
      <c r="C33" s="106">
        <v>5.3629999999999995</v>
      </c>
      <c r="D33" s="106">
        <v>5.3629999999999995</v>
      </c>
      <c r="E33" s="107">
        <v>5.3629999999999995</v>
      </c>
      <c r="F33" s="107">
        <v>5.3629999999999995</v>
      </c>
      <c r="G33" s="108">
        <v>5.3629999999999995</v>
      </c>
      <c r="H33" s="106">
        <v>5.3629999999999995</v>
      </c>
      <c r="I33" s="106">
        <v>5.3629999999999995</v>
      </c>
      <c r="J33" s="106">
        <v>5.3629999999999995</v>
      </c>
      <c r="K33" s="106">
        <v>5.3629999999999995</v>
      </c>
      <c r="L33" s="106">
        <v>6.1235300365250511</v>
      </c>
      <c r="M33" s="106">
        <v>6.1235300365250511</v>
      </c>
      <c r="N33" s="109">
        <v>6.1235300365250511</v>
      </c>
      <c r="O33" s="61"/>
    </row>
    <row r="34" spans="1:15" s="13" customFormat="1" ht="26.25" customHeight="1" thickBot="1" x14ac:dyDescent="0.25">
      <c r="A34" s="36" t="s">
        <v>16</v>
      </c>
      <c r="B34" s="37" t="s">
        <v>11</v>
      </c>
      <c r="C34" s="138">
        <f>C35+C36+C38+C37</f>
        <v>3992.6436550378771</v>
      </c>
      <c r="D34" s="138">
        <f t="shared" ref="D34" si="18">D35+D36+D38+D37</f>
        <v>4367.225671684565</v>
      </c>
      <c r="E34" s="139">
        <f t="shared" ref="E34" si="19">E35+E36+E38+E37</f>
        <v>4122.6443267436362</v>
      </c>
      <c r="F34" s="139">
        <f t="shared" ref="F34" si="20">F35+F36+F38+F37</f>
        <v>4120.6036632840851</v>
      </c>
      <c r="G34" s="149">
        <f t="shared" ref="G34" si="21">G35+G36+G38+G37</f>
        <v>4092.9969147585762</v>
      </c>
      <c r="H34" s="138">
        <f t="shared" ref="H34" si="22">H35+H36+H38+H37</f>
        <v>4245.5646472500448</v>
      </c>
      <c r="I34" s="138">
        <f t="shared" ref="I34" si="23">I35+I36+I38+I37</f>
        <v>4564.3877774411312</v>
      </c>
      <c r="J34" s="138">
        <f t="shared" ref="J34" si="24">J35+J36+J38+J37</f>
        <v>4419.7075821903554</v>
      </c>
      <c r="K34" s="138">
        <f t="shared" ref="K34" si="25">K35+K36+K38+K37</f>
        <v>4706.9041491395255</v>
      </c>
      <c r="L34" s="138">
        <f t="shared" ref="L34" si="26">L35+L36+L38+L37</f>
        <v>4703.4638860592659</v>
      </c>
      <c r="M34" s="138">
        <f t="shared" ref="M34" si="27">M35+M36+M38+M37</f>
        <v>4836.2527001974586</v>
      </c>
      <c r="N34" s="150">
        <f t="shared" ref="N34" si="28">N35+N36+N38+N37</f>
        <v>4558.7822023194003</v>
      </c>
      <c r="O34" s="61"/>
    </row>
    <row r="35" spans="1:15" s="13" customFormat="1" ht="15" customHeight="1" x14ac:dyDescent="0.2">
      <c r="A35" s="38"/>
      <c r="B35" s="39" t="s">
        <v>111</v>
      </c>
      <c r="C35" s="151">
        <f>C29</f>
        <v>3665.7106550378771</v>
      </c>
      <c r="D35" s="151">
        <f t="shared" ref="D35:N35" si="29">D29</f>
        <v>4039.542671684565</v>
      </c>
      <c r="E35" s="152">
        <f t="shared" si="29"/>
        <v>3795.2813267436359</v>
      </c>
      <c r="F35" s="152">
        <f t="shared" si="29"/>
        <v>3792.9206632840846</v>
      </c>
      <c r="G35" s="153">
        <f t="shared" si="29"/>
        <v>3765.5739147585764</v>
      </c>
      <c r="H35" s="152">
        <f t="shared" si="29"/>
        <v>3917.9816472500447</v>
      </c>
      <c r="I35" s="152">
        <f t="shared" si="29"/>
        <v>4236.8747774411313</v>
      </c>
      <c r="J35" s="152">
        <f t="shared" si="29"/>
        <v>4091.9945821903557</v>
      </c>
      <c r="K35" s="152">
        <f t="shared" si="29"/>
        <v>4378.6711491395254</v>
      </c>
      <c r="L35" s="152">
        <f t="shared" si="29"/>
        <v>4330.6303560227407</v>
      </c>
      <c r="M35" s="152">
        <f t="shared" si="29"/>
        <v>4463.5891701609335</v>
      </c>
      <c r="N35" s="154">
        <f t="shared" si="29"/>
        <v>4186.2986722828755</v>
      </c>
    </row>
    <row r="36" spans="1:15" s="13" customFormat="1" ht="15" customHeight="1" x14ac:dyDescent="0.2">
      <c r="A36" s="40"/>
      <c r="B36" s="26" t="s">
        <v>9</v>
      </c>
      <c r="C36" s="114">
        <f t="shared" ref="C36:N36" si="30">C31</f>
        <v>320.44</v>
      </c>
      <c r="D36" s="114">
        <f t="shared" si="30"/>
        <v>320.44</v>
      </c>
      <c r="E36" s="115">
        <f t="shared" si="30"/>
        <v>320.44</v>
      </c>
      <c r="F36" s="115">
        <f t="shared" si="30"/>
        <v>320.44</v>
      </c>
      <c r="G36" s="121">
        <f t="shared" si="30"/>
        <v>320.44</v>
      </c>
      <c r="H36" s="115">
        <f t="shared" si="30"/>
        <v>320.44</v>
      </c>
      <c r="I36" s="115">
        <f t="shared" si="30"/>
        <v>320.44</v>
      </c>
      <c r="J36" s="115">
        <f t="shared" si="30"/>
        <v>320.44</v>
      </c>
      <c r="K36" s="115">
        <f t="shared" si="30"/>
        <v>320.44</v>
      </c>
      <c r="L36" s="115">
        <f t="shared" si="30"/>
        <v>364.99</v>
      </c>
      <c r="M36" s="115">
        <f t="shared" si="30"/>
        <v>364.99</v>
      </c>
      <c r="N36" s="122">
        <f t="shared" si="30"/>
        <v>364.99</v>
      </c>
    </row>
    <row r="37" spans="1:15" s="13" customFormat="1" ht="25.5" x14ac:dyDescent="0.2">
      <c r="A37" s="25"/>
      <c r="B37" s="26" t="s">
        <v>116</v>
      </c>
      <c r="C37" s="106">
        <v>1.1299999999999999</v>
      </c>
      <c r="D37" s="106">
        <v>1.88</v>
      </c>
      <c r="E37" s="107">
        <v>1.56</v>
      </c>
      <c r="F37" s="107">
        <v>1.88</v>
      </c>
      <c r="G37" s="108">
        <v>1.62</v>
      </c>
      <c r="H37" s="106">
        <v>1.78</v>
      </c>
      <c r="I37" s="106">
        <v>1.71</v>
      </c>
      <c r="J37" s="106">
        <v>1.91</v>
      </c>
      <c r="K37" s="106">
        <v>2.4300000000000002</v>
      </c>
      <c r="L37" s="106">
        <v>1.72</v>
      </c>
      <c r="M37" s="106">
        <v>1.55</v>
      </c>
      <c r="N37" s="109">
        <v>1.37</v>
      </c>
    </row>
    <row r="38" spans="1:15" s="13" customFormat="1" ht="15" customHeight="1" thickBot="1" x14ac:dyDescent="0.25">
      <c r="A38" s="41"/>
      <c r="B38" s="42" t="s">
        <v>42</v>
      </c>
      <c r="C38" s="110">
        <f>C33</f>
        <v>5.3629999999999995</v>
      </c>
      <c r="D38" s="110">
        <f t="shared" ref="D38:N38" si="31">D33</f>
        <v>5.3629999999999995</v>
      </c>
      <c r="E38" s="111">
        <f t="shared" si="31"/>
        <v>5.3629999999999995</v>
      </c>
      <c r="F38" s="98">
        <f t="shared" si="31"/>
        <v>5.3629999999999995</v>
      </c>
      <c r="G38" s="112">
        <f t="shared" si="31"/>
        <v>5.3629999999999995</v>
      </c>
      <c r="H38" s="111">
        <f t="shared" si="31"/>
        <v>5.3629999999999995</v>
      </c>
      <c r="I38" s="111">
        <f t="shared" si="31"/>
        <v>5.3629999999999995</v>
      </c>
      <c r="J38" s="111">
        <f t="shared" si="31"/>
        <v>5.3629999999999995</v>
      </c>
      <c r="K38" s="111">
        <f t="shared" si="31"/>
        <v>5.3629999999999995</v>
      </c>
      <c r="L38" s="111">
        <f t="shared" si="31"/>
        <v>6.1235300365250511</v>
      </c>
      <c r="M38" s="111">
        <f t="shared" si="31"/>
        <v>6.1235300365250511</v>
      </c>
      <c r="N38" s="113">
        <f t="shared" si="31"/>
        <v>6.1235300365250511</v>
      </c>
    </row>
    <row r="39" spans="1:15" ht="15" customHeight="1" x14ac:dyDescent="0.2"/>
    <row r="40" spans="1:15" ht="15" customHeight="1" x14ac:dyDescent="0.2"/>
    <row r="41" spans="1:15" s="59" customFormat="1" ht="21" customHeight="1" thickBot="1" x14ac:dyDescent="0.25">
      <c r="A41" s="7" t="s">
        <v>76</v>
      </c>
      <c r="B41" s="7"/>
      <c r="C41" s="7"/>
      <c r="D41" s="7"/>
      <c r="E41" s="7"/>
      <c r="F41" s="7"/>
      <c r="G41" s="5"/>
      <c r="H41" s="5"/>
      <c r="I41" s="5"/>
      <c r="J41" s="5"/>
      <c r="K41" s="5"/>
      <c r="L41" s="6"/>
      <c r="M41" s="6"/>
      <c r="N41" s="6"/>
    </row>
    <row r="42" spans="1:15" s="13" customFormat="1" ht="24" customHeight="1" thickBot="1" x14ac:dyDescent="0.25">
      <c r="A42" s="49" t="s">
        <v>0</v>
      </c>
      <c r="B42" s="50" t="s">
        <v>1</v>
      </c>
      <c r="C42" s="51" t="s">
        <v>17</v>
      </c>
      <c r="D42" s="51" t="s">
        <v>18</v>
      </c>
      <c r="E42" s="51" t="s">
        <v>19</v>
      </c>
      <c r="F42" s="51" t="s">
        <v>20</v>
      </c>
      <c r="G42" s="51" t="s">
        <v>21</v>
      </c>
      <c r="H42" s="51" t="s">
        <v>22</v>
      </c>
      <c r="I42" s="51" t="s">
        <v>23</v>
      </c>
      <c r="J42" s="51" t="s">
        <v>24</v>
      </c>
      <c r="K42" s="51" t="s">
        <v>25</v>
      </c>
      <c r="L42" s="51" t="s">
        <v>26</v>
      </c>
      <c r="M42" s="51" t="s">
        <v>27</v>
      </c>
      <c r="N42" s="52" t="s">
        <v>28</v>
      </c>
    </row>
    <row r="43" spans="1:15" s="17" customFormat="1" ht="21" customHeight="1" thickBot="1" x14ac:dyDescent="0.25">
      <c r="A43" s="14" t="s">
        <v>31</v>
      </c>
      <c r="B43" s="15" t="s">
        <v>5</v>
      </c>
      <c r="C43" s="135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2"/>
      <c r="O43" s="44"/>
    </row>
    <row r="44" spans="1:15" s="17" customFormat="1" ht="13.5" thickBot="1" x14ac:dyDescent="0.25">
      <c r="A44" s="18" t="s">
        <v>32</v>
      </c>
      <c r="B44" s="19" t="s">
        <v>7</v>
      </c>
      <c r="C44" s="138">
        <f>C45+C46+C47+C49+C48</f>
        <v>7297.9636550378773</v>
      </c>
      <c r="D44" s="138">
        <f t="shared" ref="D44" si="32">D45+D46+D47+D49+D48</f>
        <v>7672.5456716845647</v>
      </c>
      <c r="E44" s="139">
        <f t="shared" ref="E44" si="33">E45+E46+E47+E49+E48</f>
        <v>7427.9643267436359</v>
      </c>
      <c r="F44" s="139">
        <f t="shared" ref="F44" si="34">F45+F46+F47+F49+F48</f>
        <v>7425.9236632840848</v>
      </c>
      <c r="G44" s="140">
        <f t="shared" ref="G44" si="35">G45+G46+G47+G49+G48</f>
        <v>7398.3169147585768</v>
      </c>
      <c r="H44" s="139">
        <f t="shared" ref="H44" si="36">H45+H46+H47+H49+H48</f>
        <v>7550.8846472500445</v>
      </c>
      <c r="I44" s="139">
        <f t="shared" ref="I44" si="37">I45+I46+I47+I49+I48</f>
        <v>7869.7077774411309</v>
      </c>
      <c r="J44" s="139">
        <f t="shared" ref="J44" si="38">J45+J46+J47+J49+J48</f>
        <v>7725.027582190356</v>
      </c>
      <c r="K44" s="139">
        <f t="shared" ref="K44" si="39">K45+K46+K47+K49+K48</f>
        <v>8012.2241491395253</v>
      </c>
      <c r="L44" s="139">
        <f t="shared" ref="L44" si="40">L45+L46+L47+L49+L48</f>
        <v>8686.3738860592639</v>
      </c>
      <c r="M44" s="139">
        <f t="shared" ref="M44" si="41">M45+M46+M47+M49+M48</f>
        <v>8819.1627001974557</v>
      </c>
      <c r="N44" s="141">
        <f t="shared" ref="N44" si="42">N45+N46+N47+N49+N48</f>
        <v>8541.6922023194002</v>
      </c>
      <c r="O44" s="61"/>
    </row>
    <row r="45" spans="1:15" s="13" customFormat="1" ht="15" customHeight="1" x14ac:dyDescent="0.2">
      <c r="A45" s="23"/>
      <c r="B45" s="24" t="s">
        <v>111</v>
      </c>
      <c r="C45" s="142">
        <f>C$73</f>
        <v>3665.7106550378771</v>
      </c>
      <c r="D45" s="142">
        <f t="shared" ref="D45:N45" si="43">D$73</f>
        <v>4039.542671684565</v>
      </c>
      <c r="E45" s="143">
        <f t="shared" si="43"/>
        <v>3795.2813267436359</v>
      </c>
      <c r="F45" s="143">
        <f t="shared" si="43"/>
        <v>3792.9206632840846</v>
      </c>
      <c r="G45" s="144">
        <f t="shared" si="43"/>
        <v>3765.5739147585764</v>
      </c>
      <c r="H45" s="142">
        <f t="shared" si="43"/>
        <v>3917.9816472500447</v>
      </c>
      <c r="I45" s="142">
        <f t="shared" si="43"/>
        <v>4236.8747774411313</v>
      </c>
      <c r="J45" s="142">
        <f t="shared" si="43"/>
        <v>4091.9945821903557</v>
      </c>
      <c r="K45" s="142">
        <f t="shared" si="43"/>
        <v>4378.6711491395254</v>
      </c>
      <c r="L45" s="142">
        <f t="shared" si="43"/>
        <v>4330.6303560227407</v>
      </c>
      <c r="M45" s="142">
        <f t="shared" si="43"/>
        <v>4463.5891701609335</v>
      </c>
      <c r="N45" s="145">
        <f t="shared" si="43"/>
        <v>4186.2986722828755</v>
      </c>
      <c r="O45" s="61"/>
    </row>
    <row r="46" spans="1:15" s="13" customFormat="1" ht="15" customHeight="1" x14ac:dyDescent="0.2">
      <c r="A46" s="25"/>
      <c r="B46" s="26" t="s">
        <v>8</v>
      </c>
      <c r="C46" s="146">
        <v>3305.32</v>
      </c>
      <c r="D46" s="146">
        <v>3305.32</v>
      </c>
      <c r="E46" s="99">
        <v>3305.32</v>
      </c>
      <c r="F46" s="99">
        <v>3305.32</v>
      </c>
      <c r="G46" s="147">
        <v>3305.32</v>
      </c>
      <c r="H46" s="146">
        <v>3305.32</v>
      </c>
      <c r="I46" s="146">
        <v>3305.32</v>
      </c>
      <c r="J46" s="146">
        <v>3305.32</v>
      </c>
      <c r="K46" s="146">
        <v>3305.32</v>
      </c>
      <c r="L46" s="146">
        <v>3982.91</v>
      </c>
      <c r="M46" s="146">
        <v>3982.91</v>
      </c>
      <c r="N46" s="148">
        <v>3982.91</v>
      </c>
      <c r="O46" s="61"/>
    </row>
    <row r="47" spans="1:15" s="13" customFormat="1" ht="15" customHeight="1" x14ac:dyDescent="0.2">
      <c r="A47" s="29"/>
      <c r="B47" s="30" t="s">
        <v>9</v>
      </c>
      <c r="C47" s="114">
        <v>320.44</v>
      </c>
      <c r="D47" s="114">
        <v>320.44</v>
      </c>
      <c r="E47" s="115">
        <v>320.44</v>
      </c>
      <c r="F47" s="115">
        <v>320.44</v>
      </c>
      <c r="G47" s="116">
        <v>320.44</v>
      </c>
      <c r="H47" s="114">
        <v>320.44</v>
      </c>
      <c r="I47" s="114">
        <v>320.44</v>
      </c>
      <c r="J47" s="114">
        <v>320.44</v>
      </c>
      <c r="K47" s="114">
        <v>320.44</v>
      </c>
      <c r="L47" s="114">
        <v>364.99</v>
      </c>
      <c r="M47" s="114">
        <v>364.99</v>
      </c>
      <c r="N47" s="117">
        <v>364.99</v>
      </c>
      <c r="O47" s="61"/>
    </row>
    <row r="48" spans="1:15" s="13" customFormat="1" ht="25.5" x14ac:dyDescent="0.2">
      <c r="A48" s="25"/>
      <c r="B48" s="26" t="s">
        <v>116</v>
      </c>
      <c r="C48" s="106">
        <v>1.1299999999999999</v>
      </c>
      <c r="D48" s="106">
        <v>1.88</v>
      </c>
      <c r="E48" s="107">
        <v>1.56</v>
      </c>
      <c r="F48" s="107">
        <v>1.88</v>
      </c>
      <c r="G48" s="108">
        <v>1.62</v>
      </c>
      <c r="H48" s="106">
        <v>1.78</v>
      </c>
      <c r="I48" s="106">
        <v>1.71</v>
      </c>
      <c r="J48" s="106">
        <v>1.91</v>
      </c>
      <c r="K48" s="106">
        <v>2.4300000000000002</v>
      </c>
      <c r="L48" s="106">
        <v>1.72</v>
      </c>
      <c r="M48" s="106">
        <v>1.55</v>
      </c>
      <c r="N48" s="109">
        <v>1.37</v>
      </c>
      <c r="O48" s="61"/>
    </row>
    <row r="49" spans="1:15" s="13" customFormat="1" ht="15" customHeight="1" thickBot="1" x14ac:dyDescent="0.25">
      <c r="A49" s="32"/>
      <c r="B49" s="33" t="s">
        <v>42</v>
      </c>
      <c r="C49" s="106">
        <v>5.3629999999999995</v>
      </c>
      <c r="D49" s="106">
        <v>5.3629999999999995</v>
      </c>
      <c r="E49" s="107">
        <v>5.3629999999999995</v>
      </c>
      <c r="F49" s="107">
        <v>5.3629999999999995</v>
      </c>
      <c r="G49" s="108">
        <v>5.3629999999999995</v>
      </c>
      <c r="H49" s="106">
        <v>5.3629999999999995</v>
      </c>
      <c r="I49" s="106">
        <v>5.3629999999999995</v>
      </c>
      <c r="J49" s="106">
        <v>5.3629999999999995</v>
      </c>
      <c r="K49" s="106">
        <v>5.3629999999999995</v>
      </c>
      <c r="L49" s="106">
        <v>6.1235300365250511</v>
      </c>
      <c r="M49" s="106">
        <v>6.1235300365250511</v>
      </c>
      <c r="N49" s="109">
        <v>6.1235300365250511</v>
      </c>
      <c r="O49" s="61"/>
    </row>
    <row r="50" spans="1:15" s="13" customFormat="1" ht="26.25" customHeight="1" thickBot="1" x14ac:dyDescent="0.25">
      <c r="A50" s="36" t="s">
        <v>33</v>
      </c>
      <c r="B50" s="37" t="s">
        <v>11</v>
      </c>
      <c r="C50" s="138">
        <f>C51+C52+C54+C53</f>
        <v>3992.6436550378771</v>
      </c>
      <c r="D50" s="138">
        <f t="shared" ref="D50" si="44">D51+D52+D54+D53</f>
        <v>4367.225671684565</v>
      </c>
      <c r="E50" s="139">
        <f t="shared" ref="E50" si="45">E51+E52+E54+E53</f>
        <v>4122.6443267436362</v>
      </c>
      <c r="F50" s="139">
        <f t="shared" ref="F50" si="46">F51+F52+F54+F53</f>
        <v>4120.6036632840851</v>
      </c>
      <c r="G50" s="149">
        <f t="shared" ref="G50" si="47">G51+G52+G54+G53</f>
        <v>4092.9969147585762</v>
      </c>
      <c r="H50" s="138">
        <f t="shared" ref="H50" si="48">H51+H52+H54+H53</f>
        <v>4245.5646472500448</v>
      </c>
      <c r="I50" s="138">
        <f t="shared" ref="I50" si="49">I51+I52+I54+I53</f>
        <v>4564.3877774411312</v>
      </c>
      <c r="J50" s="138">
        <f t="shared" ref="J50" si="50">J51+J52+J54+J53</f>
        <v>4419.7075821903554</v>
      </c>
      <c r="K50" s="138">
        <f t="shared" ref="K50" si="51">K51+K52+K54+K53</f>
        <v>4706.9041491395255</v>
      </c>
      <c r="L50" s="138">
        <f t="shared" ref="L50" si="52">L51+L52+L54+L53</f>
        <v>4703.4638860592659</v>
      </c>
      <c r="M50" s="138">
        <f t="shared" ref="M50" si="53">M51+M52+M54+M53</f>
        <v>4836.2527001974586</v>
      </c>
      <c r="N50" s="150">
        <f t="shared" ref="N50" si="54">N51+N52+N54+N53</f>
        <v>4558.7822023194003</v>
      </c>
      <c r="O50" s="61"/>
    </row>
    <row r="51" spans="1:15" s="13" customFormat="1" ht="15" customHeight="1" x14ac:dyDescent="0.2">
      <c r="A51" s="38"/>
      <c r="B51" s="39" t="s">
        <v>111</v>
      </c>
      <c r="C51" s="151">
        <f>C45</f>
        <v>3665.7106550378771</v>
      </c>
      <c r="D51" s="151">
        <f t="shared" ref="D51:N51" si="55">D45</f>
        <v>4039.542671684565</v>
      </c>
      <c r="E51" s="152">
        <f t="shared" si="55"/>
        <v>3795.2813267436359</v>
      </c>
      <c r="F51" s="152">
        <f t="shared" si="55"/>
        <v>3792.9206632840846</v>
      </c>
      <c r="G51" s="153">
        <f t="shared" si="55"/>
        <v>3765.5739147585764</v>
      </c>
      <c r="H51" s="152">
        <f t="shared" si="55"/>
        <v>3917.9816472500447</v>
      </c>
      <c r="I51" s="152">
        <f t="shared" si="55"/>
        <v>4236.8747774411313</v>
      </c>
      <c r="J51" s="152">
        <f t="shared" si="55"/>
        <v>4091.9945821903557</v>
      </c>
      <c r="K51" s="152">
        <f t="shared" si="55"/>
        <v>4378.6711491395254</v>
      </c>
      <c r="L51" s="152">
        <f t="shared" si="55"/>
        <v>4330.6303560227407</v>
      </c>
      <c r="M51" s="152">
        <f t="shared" si="55"/>
        <v>4463.5891701609335</v>
      </c>
      <c r="N51" s="154">
        <f t="shared" si="55"/>
        <v>4186.2986722828755</v>
      </c>
    </row>
    <row r="52" spans="1:15" s="13" customFormat="1" ht="15" customHeight="1" x14ac:dyDescent="0.2">
      <c r="A52" s="40"/>
      <c r="B52" s="26" t="s">
        <v>9</v>
      </c>
      <c r="C52" s="114">
        <f t="shared" ref="C52:N52" si="56">C47</f>
        <v>320.44</v>
      </c>
      <c r="D52" s="114">
        <f t="shared" si="56"/>
        <v>320.44</v>
      </c>
      <c r="E52" s="115">
        <f t="shared" si="56"/>
        <v>320.44</v>
      </c>
      <c r="F52" s="115">
        <f t="shared" si="56"/>
        <v>320.44</v>
      </c>
      <c r="G52" s="121">
        <f t="shared" si="56"/>
        <v>320.44</v>
      </c>
      <c r="H52" s="115">
        <f t="shared" si="56"/>
        <v>320.44</v>
      </c>
      <c r="I52" s="115">
        <f t="shared" si="56"/>
        <v>320.44</v>
      </c>
      <c r="J52" s="115">
        <f t="shared" si="56"/>
        <v>320.44</v>
      </c>
      <c r="K52" s="115">
        <f t="shared" si="56"/>
        <v>320.44</v>
      </c>
      <c r="L52" s="115">
        <f t="shared" si="56"/>
        <v>364.99</v>
      </c>
      <c r="M52" s="115">
        <f t="shared" si="56"/>
        <v>364.99</v>
      </c>
      <c r="N52" s="122">
        <f t="shared" si="56"/>
        <v>364.99</v>
      </c>
    </row>
    <row r="53" spans="1:15" s="13" customFormat="1" ht="25.5" x14ac:dyDescent="0.2">
      <c r="A53" s="25"/>
      <c r="B53" s="26" t="s">
        <v>116</v>
      </c>
      <c r="C53" s="106">
        <v>1.1299999999999999</v>
      </c>
      <c r="D53" s="106">
        <v>1.88</v>
      </c>
      <c r="E53" s="107">
        <v>1.56</v>
      </c>
      <c r="F53" s="107">
        <v>1.88</v>
      </c>
      <c r="G53" s="108">
        <v>1.62</v>
      </c>
      <c r="H53" s="106">
        <v>1.78</v>
      </c>
      <c r="I53" s="106">
        <v>1.71</v>
      </c>
      <c r="J53" s="106">
        <v>1.91</v>
      </c>
      <c r="K53" s="106">
        <v>2.4300000000000002</v>
      </c>
      <c r="L53" s="106">
        <v>1.72</v>
      </c>
      <c r="M53" s="106">
        <v>1.55</v>
      </c>
      <c r="N53" s="109">
        <v>1.37</v>
      </c>
    </row>
    <row r="54" spans="1:15" s="13" customFormat="1" ht="15" customHeight="1" thickBot="1" x14ac:dyDescent="0.25">
      <c r="A54" s="41"/>
      <c r="B54" s="42" t="s">
        <v>42</v>
      </c>
      <c r="C54" s="110">
        <f>C49</f>
        <v>5.3629999999999995</v>
      </c>
      <c r="D54" s="110">
        <f t="shared" ref="D54:N54" si="57">D49</f>
        <v>5.3629999999999995</v>
      </c>
      <c r="E54" s="111">
        <f t="shared" si="57"/>
        <v>5.3629999999999995</v>
      </c>
      <c r="F54" s="98">
        <f t="shared" si="57"/>
        <v>5.3629999999999995</v>
      </c>
      <c r="G54" s="112">
        <f t="shared" si="57"/>
        <v>5.3629999999999995</v>
      </c>
      <c r="H54" s="111">
        <f t="shared" si="57"/>
        <v>5.3629999999999995</v>
      </c>
      <c r="I54" s="111">
        <f t="shared" si="57"/>
        <v>5.3629999999999995</v>
      </c>
      <c r="J54" s="111">
        <f t="shared" si="57"/>
        <v>5.3629999999999995</v>
      </c>
      <c r="K54" s="111">
        <f t="shared" si="57"/>
        <v>5.3629999999999995</v>
      </c>
      <c r="L54" s="111">
        <f t="shared" si="57"/>
        <v>6.1235300365250511</v>
      </c>
      <c r="M54" s="111">
        <f t="shared" si="57"/>
        <v>6.1235300365250511</v>
      </c>
      <c r="N54" s="113">
        <f t="shared" si="57"/>
        <v>6.1235300365250511</v>
      </c>
    </row>
    <row r="55" spans="1:15" s="13" customFormat="1" ht="15" customHeight="1" x14ac:dyDescent="0.2">
      <c r="A55" s="45"/>
      <c r="B55" s="46"/>
      <c r="C55" s="47"/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15" s="13" customFormat="1" ht="15" customHeight="1" x14ac:dyDescent="0.2">
      <c r="A56" s="45"/>
      <c r="B56" s="46"/>
      <c r="C56" s="47"/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</row>
    <row r="57" spans="1:15" s="59" customFormat="1" ht="21" customHeight="1" thickBot="1" x14ac:dyDescent="0.25">
      <c r="A57" s="7" t="s">
        <v>77</v>
      </c>
      <c r="B57" s="7"/>
      <c r="C57" s="7"/>
      <c r="D57" s="7"/>
      <c r="E57" s="7"/>
      <c r="F57" s="7"/>
      <c r="G57" s="5"/>
      <c r="H57" s="5"/>
      <c r="I57" s="5"/>
      <c r="J57" s="5"/>
      <c r="K57" s="5"/>
      <c r="L57" s="6"/>
      <c r="M57" s="6"/>
      <c r="N57" s="6"/>
    </row>
    <row r="58" spans="1:15" s="13" customFormat="1" ht="24" customHeight="1" thickBot="1" x14ac:dyDescent="0.25">
      <c r="A58" s="49" t="s">
        <v>0</v>
      </c>
      <c r="B58" s="50" t="s">
        <v>1</v>
      </c>
      <c r="C58" s="51" t="s">
        <v>17</v>
      </c>
      <c r="D58" s="51" t="s">
        <v>18</v>
      </c>
      <c r="E58" s="51" t="s">
        <v>19</v>
      </c>
      <c r="F58" s="51" t="s">
        <v>20</v>
      </c>
      <c r="G58" s="51" t="s">
        <v>21</v>
      </c>
      <c r="H58" s="51" t="s">
        <v>22</v>
      </c>
      <c r="I58" s="51" t="s">
        <v>23</v>
      </c>
      <c r="J58" s="51" t="s">
        <v>24</v>
      </c>
      <c r="K58" s="51" t="s">
        <v>25</v>
      </c>
      <c r="L58" s="51" t="s">
        <v>26</v>
      </c>
      <c r="M58" s="51" t="s">
        <v>27</v>
      </c>
      <c r="N58" s="52" t="s">
        <v>28</v>
      </c>
    </row>
    <row r="59" spans="1:15" s="17" customFormat="1" ht="21" customHeight="1" thickBot="1" x14ac:dyDescent="0.25">
      <c r="A59" s="14" t="s">
        <v>34</v>
      </c>
      <c r="B59" s="15" t="s">
        <v>5</v>
      </c>
      <c r="C59" s="135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2"/>
      <c r="O59" s="44"/>
    </row>
    <row r="60" spans="1:15" s="17" customFormat="1" ht="13.5" thickBot="1" x14ac:dyDescent="0.25">
      <c r="A60" s="18" t="s">
        <v>35</v>
      </c>
      <c r="B60" s="19" t="s">
        <v>7</v>
      </c>
      <c r="C60" s="138">
        <f>C61+C62+C63+C65+C64</f>
        <v>8252.4636550378764</v>
      </c>
      <c r="D60" s="138">
        <f t="shared" ref="D60" si="58">D61+D62+D63+D65+D64</f>
        <v>8627.0456716845638</v>
      </c>
      <c r="E60" s="139">
        <f t="shared" ref="E60" si="59">E61+E62+E63+E65+E64</f>
        <v>8382.464326743635</v>
      </c>
      <c r="F60" s="139">
        <f t="shared" ref="F60" si="60">F61+F62+F63+F65+F64</f>
        <v>8380.4236632840839</v>
      </c>
      <c r="G60" s="140">
        <f t="shared" ref="G60" si="61">G61+G62+G63+G65+G64</f>
        <v>8352.8169147585759</v>
      </c>
      <c r="H60" s="139">
        <f t="shared" ref="H60" si="62">H61+H62+H63+H65+H64</f>
        <v>8505.3846472500445</v>
      </c>
      <c r="I60" s="139">
        <f t="shared" ref="I60" si="63">I61+I62+I63+I65+I64</f>
        <v>8824.20777744113</v>
      </c>
      <c r="J60" s="139">
        <f t="shared" ref="J60" si="64">J61+J62+J63+J65+J64</f>
        <v>8679.527582190356</v>
      </c>
      <c r="K60" s="139">
        <f t="shared" ref="K60" si="65">K61+K62+K63+K65+K64</f>
        <v>8966.7241491395253</v>
      </c>
      <c r="L60" s="139">
        <f t="shared" ref="L60" si="66">L61+L62+L63+L65+L64</f>
        <v>9908.963886059264</v>
      </c>
      <c r="M60" s="139">
        <f t="shared" ref="M60" si="67">M61+M62+M63+M65+M64</f>
        <v>10041.752700197456</v>
      </c>
      <c r="N60" s="141">
        <f t="shared" ref="N60" si="68">N61+N62+N63+N65+N64</f>
        <v>9764.2822023194003</v>
      </c>
      <c r="O60" s="61"/>
    </row>
    <row r="61" spans="1:15" s="13" customFormat="1" ht="15" customHeight="1" x14ac:dyDescent="0.2">
      <c r="A61" s="23"/>
      <c r="B61" s="24" t="s">
        <v>111</v>
      </c>
      <c r="C61" s="142">
        <f>C$73</f>
        <v>3665.7106550378771</v>
      </c>
      <c r="D61" s="142">
        <f t="shared" ref="D61:N61" si="69">D$73</f>
        <v>4039.542671684565</v>
      </c>
      <c r="E61" s="143">
        <f t="shared" si="69"/>
        <v>3795.2813267436359</v>
      </c>
      <c r="F61" s="143">
        <f t="shared" si="69"/>
        <v>3792.9206632840846</v>
      </c>
      <c r="G61" s="144">
        <f t="shared" si="69"/>
        <v>3765.5739147585764</v>
      </c>
      <c r="H61" s="142">
        <f t="shared" si="69"/>
        <v>3917.9816472500447</v>
      </c>
      <c r="I61" s="142">
        <f t="shared" si="69"/>
        <v>4236.8747774411313</v>
      </c>
      <c r="J61" s="142">
        <f t="shared" si="69"/>
        <v>4091.9945821903557</v>
      </c>
      <c r="K61" s="142">
        <f t="shared" si="69"/>
        <v>4378.6711491395254</v>
      </c>
      <c r="L61" s="142">
        <f t="shared" si="69"/>
        <v>4330.6303560227407</v>
      </c>
      <c r="M61" s="142">
        <f t="shared" si="69"/>
        <v>4463.5891701609335</v>
      </c>
      <c r="N61" s="145">
        <f t="shared" si="69"/>
        <v>4186.2986722828755</v>
      </c>
      <c r="O61" s="61"/>
    </row>
    <row r="62" spans="1:15" s="13" customFormat="1" ht="15" customHeight="1" x14ac:dyDescent="0.2">
      <c r="A62" s="25"/>
      <c r="B62" s="26" t="s">
        <v>8</v>
      </c>
      <c r="C62" s="146">
        <v>4259.82</v>
      </c>
      <c r="D62" s="146">
        <v>4259.82</v>
      </c>
      <c r="E62" s="99">
        <v>4259.82</v>
      </c>
      <c r="F62" s="99">
        <v>4259.82</v>
      </c>
      <c r="G62" s="147">
        <v>4259.82</v>
      </c>
      <c r="H62" s="146">
        <v>4259.82</v>
      </c>
      <c r="I62" s="146">
        <v>4259.82</v>
      </c>
      <c r="J62" s="146">
        <v>4259.82</v>
      </c>
      <c r="K62" s="146">
        <v>4259.82</v>
      </c>
      <c r="L62" s="146">
        <v>5205.5</v>
      </c>
      <c r="M62" s="146">
        <v>5205.5</v>
      </c>
      <c r="N62" s="148">
        <v>5205.5</v>
      </c>
      <c r="O62" s="61"/>
    </row>
    <row r="63" spans="1:15" s="13" customFormat="1" ht="15" customHeight="1" x14ac:dyDescent="0.2">
      <c r="A63" s="29"/>
      <c r="B63" s="30" t="s">
        <v>9</v>
      </c>
      <c r="C63" s="114">
        <v>320.44</v>
      </c>
      <c r="D63" s="114">
        <v>320.44</v>
      </c>
      <c r="E63" s="115">
        <v>320.44</v>
      </c>
      <c r="F63" s="115">
        <v>320.44</v>
      </c>
      <c r="G63" s="116">
        <v>320.44</v>
      </c>
      <c r="H63" s="114">
        <v>320.44</v>
      </c>
      <c r="I63" s="114">
        <v>320.44</v>
      </c>
      <c r="J63" s="114">
        <v>320.44</v>
      </c>
      <c r="K63" s="114">
        <v>320.44</v>
      </c>
      <c r="L63" s="114">
        <v>364.99</v>
      </c>
      <c r="M63" s="114">
        <v>364.99</v>
      </c>
      <c r="N63" s="117">
        <v>364.99</v>
      </c>
      <c r="O63" s="61"/>
    </row>
    <row r="64" spans="1:15" s="13" customFormat="1" ht="25.5" x14ac:dyDescent="0.2">
      <c r="A64" s="25"/>
      <c r="B64" s="26" t="s">
        <v>116</v>
      </c>
      <c r="C64" s="106">
        <v>1.1299999999999999</v>
      </c>
      <c r="D64" s="106">
        <v>1.88</v>
      </c>
      <c r="E64" s="107">
        <v>1.56</v>
      </c>
      <c r="F64" s="107">
        <v>1.88</v>
      </c>
      <c r="G64" s="108">
        <v>1.62</v>
      </c>
      <c r="H64" s="106">
        <v>1.78</v>
      </c>
      <c r="I64" s="106">
        <v>1.71</v>
      </c>
      <c r="J64" s="106">
        <v>1.91</v>
      </c>
      <c r="K64" s="106">
        <v>2.4300000000000002</v>
      </c>
      <c r="L64" s="106">
        <v>1.72</v>
      </c>
      <c r="M64" s="106">
        <v>1.55</v>
      </c>
      <c r="N64" s="109">
        <v>1.37</v>
      </c>
      <c r="O64" s="61"/>
    </row>
    <row r="65" spans="1:15" s="13" customFormat="1" ht="15" customHeight="1" thickBot="1" x14ac:dyDescent="0.25">
      <c r="A65" s="32"/>
      <c r="B65" s="33" t="s">
        <v>42</v>
      </c>
      <c r="C65" s="106">
        <v>5.3629999999999995</v>
      </c>
      <c r="D65" s="106">
        <v>5.3629999999999995</v>
      </c>
      <c r="E65" s="107">
        <v>5.3629999999999995</v>
      </c>
      <c r="F65" s="107">
        <v>5.3629999999999995</v>
      </c>
      <c r="G65" s="108">
        <v>5.3629999999999995</v>
      </c>
      <c r="H65" s="106">
        <v>5.3629999999999995</v>
      </c>
      <c r="I65" s="106">
        <v>5.3629999999999995</v>
      </c>
      <c r="J65" s="106">
        <v>5.3629999999999995</v>
      </c>
      <c r="K65" s="106">
        <v>5.3629999999999995</v>
      </c>
      <c r="L65" s="106">
        <v>6.1235300365250511</v>
      </c>
      <c r="M65" s="106">
        <v>6.1235300365250511</v>
      </c>
      <c r="N65" s="109">
        <v>6.1235300365250511</v>
      </c>
      <c r="O65" s="61"/>
    </row>
    <row r="66" spans="1:15" s="13" customFormat="1" ht="26.25" customHeight="1" thickBot="1" x14ac:dyDescent="0.25">
      <c r="A66" s="36" t="s">
        <v>36</v>
      </c>
      <c r="B66" s="37" t="s">
        <v>11</v>
      </c>
      <c r="C66" s="138">
        <f>C67+C68+C70+C69</f>
        <v>3992.6436550378771</v>
      </c>
      <c r="D66" s="138">
        <f t="shared" ref="D66" si="70">D67+D68+D70+D69</f>
        <v>4367.225671684565</v>
      </c>
      <c r="E66" s="139">
        <f t="shared" ref="E66" si="71">E67+E68+E70+E69</f>
        <v>4122.6443267436362</v>
      </c>
      <c r="F66" s="139">
        <f t="shared" ref="F66" si="72">F67+F68+F70+F69</f>
        <v>4120.6036632840851</v>
      </c>
      <c r="G66" s="149">
        <f t="shared" ref="G66" si="73">G67+G68+G70+G69</f>
        <v>4092.9969147585762</v>
      </c>
      <c r="H66" s="138">
        <f t="shared" ref="H66" si="74">H67+H68+H70+H69</f>
        <v>4245.5646472500448</v>
      </c>
      <c r="I66" s="138">
        <f t="shared" ref="I66" si="75">I67+I68+I70+I69</f>
        <v>4564.3877774411312</v>
      </c>
      <c r="J66" s="138">
        <f t="shared" ref="J66" si="76">J67+J68+J70+J69</f>
        <v>4419.7075821903554</v>
      </c>
      <c r="K66" s="138">
        <f t="shared" ref="K66" si="77">K67+K68+K70+K69</f>
        <v>4706.9041491395255</v>
      </c>
      <c r="L66" s="138">
        <f t="shared" ref="L66" si="78">L67+L68+L70+L69</f>
        <v>4703.4638860592659</v>
      </c>
      <c r="M66" s="138">
        <f t="shared" ref="M66" si="79">M67+M68+M70+M69</f>
        <v>4836.2527001974586</v>
      </c>
      <c r="N66" s="150">
        <f t="shared" ref="N66" si="80">N67+N68+N70+N69</f>
        <v>4558.7822023194003</v>
      </c>
      <c r="O66" s="61"/>
    </row>
    <row r="67" spans="1:15" s="13" customFormat="1" ht="15" customHeight="1" x14ac:dyDescent="0.2">
      <c r="A67" s="38"/>
      <c r="B67" s="39" t="s">
        <v>111</v>
      </c>
      <c r="C67" s="151">
        <f>C61</f>
        <v>3665.7106550378771</v>
      </c>
      <c r="D67" s="151">
        <f t="shared" ref="D67:N67" si="81">D61</f>
        <v>4039.542671684565</v>
      </c>
      <c r="E67" s="152">
        <f t="shared" si="81"/>
        <v>3795.2813267436359</v>
      </c>
      <c r="F67" s="152">
        <f t="shared" si="81"/>
        <v>3792.9206632840846</v>
      </c>
      <c r="G67" s="153">
        <f t="shared" si="81"/>
        <v>3765.5739147585764</v>
      </c>
      <c r="H67" s="152">
        <f t="shared" si="81"/>
        <v>3917.9816472500447</v>
      </c>
      <c r="I67" s="152">
        <f t="shared" si="81"/>
        <v>4236.8747774411313</v>
      </c>
      <c r="J67" s="152">
        <f t="shared" si="81"/>
        <v>4091.9945821903557</v>
      </c>
      <c r="K67" s="152">
        <f t="shared" si="81"/>
        <v>4378.6711491395254</v>
      </c>
      <c r="L67" s="152">
        <f t="shared" si="81"/>
        <v>4330.6303560227407</v>
      </c>
      <c r="M67" s="152">
        <f t="shared" si="81"/>
        <v>4463.5891701609335</v>
      </c>
      <c r="N67" s="154">
        <f t="shared" si="81"/>
        <v>4186.2986722828755</v>
      </c>
    </row>
    <row r="68" spans="1:15" s="13" customFormat="1" ht="15" customHeight="1" x14ac:dyDescent="0.2">
      <c r="A68" s="40"/>
      <c r="B68" s="26" t="s">
        <v>9</v>
      </c>
      <c r="C68" s="114">
        <f t="shared" ref="C68:N68" si="82">C63</f>
        <v>320.44</v>
      </c>
      <c r="D68" s="114">
        <f t="shared" si="82"/>
        <v>320.44</v>
      </c>
      <c r="E68" s="115">
        <f t="shared" si="82"/>
        <v>320.44</v>
      </c>
      <c r="F68" s="115">
        <f t="shared" si="82"/>
        <v>320.44</v>
      </c>
      <c r="G68" s="121">
        <f t="shared" si="82"/>
        <v>320.44</v>
      </c>
      <c r="H68" s="115">
        <f t="shared" si="82"/>
        <v>320.44</v>
      </c>
      <c r="I68" s="115">
        <f t="shared" si="82"/>
        <v>320.44</v>
      </c>
      <c r="J68" s="115">
        <f t="shared" si="82"/>
        <v>320.44</v>
      </c>
      <c r="K68" s="115">
        <f t="shared" si="82"/>
        <v>320.44</v>
      </c>
      <c r="L68" s="115">
        <f t="shared" si="82"/>
        <v>364.99</v>
      </c>
      <c r="M68" s="115">
        <f t="shared" si="82"/>
        <v>364.99</v>
      </c>
      <c r="N68" s="122">
        <f t="shared" si="82"/>
        <v>364.99</v>
      </c>
    </row>
    <row r="69" spans="1:15" s="13" customFormat="1" ht="25.5" x14ac:dyDescent="0.2">
      <c r="A69" s="25"/>
      <c r="B69" s="30" t="s">
        <v>116</v>
      </c>
      <c r="C69" s="106">
        <v>1.1299999999999999</v>
      </c>
      <c r="D69" s="106">
        <v>1.88</v>
      </c>
      <c r="E69" s="107">
        <v>1.56</v>
      </c>
      <c r="F69" s="107">
        <v>1.88</v>
      </c>
      <c r="G69" s="108">
        <v>1.62</v>
      </c>
      <c r="H69" s="106">
        <v>1.78</v>
      </c>
      <c r="I69" s="106">
        <v>1.71</v>
      </c>
      <c r="J69" s="106">
        <v>1.91</v>
      </c>
      <c r="K69" s="106">
        <v>2.4300000000000002</v>
      </c>
      <c r="L69" s="106">
        <v>1.72</v>
      </c>
      <c r="M69" s="106">
        <v>1.55</v>
      </c>
      <c r="N69" s="109">
        <v>1.37</v>
      </c>
    </row>
    <row r="70" spans="1:15" s="13" customFormat="1" ht="15" customHeight="1" thickBot="1" x14ac:dyDescent="0.25">
      <c r="A70" s="41"/>
      <c r="B70" s="33" t="s">
        <v>42</v>
      </c>
      <c r="C70" s="110">
        <f>C65</f>
        <v>5.3629999999999995</v>
      </c>
      <c r="D70" s="110">
        <f t="shared" ref="D70:N70" si="83">D65</f>
        <v>5.3629999999999995</v>
      </c>
      <c r="E70" s="111">
        <f t="shared" si="83"/>
        <v>5.3629999999999995</v>
      </c>
      <c r="F70" s="98">
        <f t="shared" si="83"/>
        <v>5.3629999999999995</v>
      </c>
      <c r="G70" s="112">
        <f t="shared" si="83"/>
        <v>5.3629999999999995</v>
      </c>
      <c r="H70" s="111">
        <f t="shared" si="83"/>
        <v>5.3629999999999995</v>
      </c>
      <c r="I70" s="111">
        <f t="shared" si="83"/>
        <v>5.3629999999999995</v>
      </c>
      <c r="J70" s="111">
        <f t="shared" si="83"/>
        <v>5.3629999999999995</v>
      </c>
      <c r="K70" s="111">
        <f t="shared" si="83"/>
        <v>5.3629999999999995</v>
      </c>
      <c r="L70" s="111">
        <f t="shared" si="83"/>
        <v>6.1235300365250511</v>
      </c>
      <c r="M70" s="111">
        <f t="shared" si="83"/>
        <v>6.1235300365250511</v>
      </c>
      <c r="N70" s="113">
        <f t="shared" si="83"/>
        <v>6.1235300365250511</v>
      </c>
    </row>
    <row r="71" spans="1:15" s="13" customFormat="1" ht="15" customHeight="1" x14ac:dyDescent="0.2">
      <c r="A71" s="45"/>
      <c r="B71" s="46"/>
      <c r="C71" s="47"/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</row>
    <row r="72" spans="1:15" ht="15" customHeight="1" x14ac:dyDescent="0.2"/>
    <row r="73" spans="1:15" s="62" customFormat="1" ht="32.25" customHeight="1" x14ac:dyDescent="0.2">
      <c r="A73" s="203" t="s">
        <v>106</v>
      </c>
      <c r="B73" s="203"/>
      <c r="C73" s="105">
        <f>C74+C75*C76</f>
        <v>3665.7106550378771</v>
      </c>
      <c r="D73" s="105">
        <f t="shared" ref="D73:N73" si="84">D74+D75*D76</f>
        <v>4039.542671684565</v>
      </c>
      <c r="E73" s="105">
        <f t="shared" si="84"/>
        <v>3795.2813267436359</v>
      </c>
      <c r="F73" s="105">
        <f t="shared" si="84"/>
        <v>3792.9206632840846</v>
      </c>
      <c r="G73" s="105">
        <f t="shared" si="84"/>
        <v>3765.5739147585764</v>
      </c>
      <c r="H73" s="105">
        <f t="shared" si="84"/>
        <v>3917.9816472500447</v>
      </c>
      <c r="I73" s="105">
        <f t="shared" si="84"/>
        <v>4236.8747774411313</v>
      </c>
      <c r="J73" s="105">
        <f t="shared" si="84"/>
        <v>4091.9945821903557</v>
      </c>
      <c r="K73" s="105">
        <f t="shared" si="84"/>
        <v>4378.6711491395254</v>
      </c>
      <c r="L73" s="105">
        <f t="shared" si="84"/>
        <v>4330.6303560227407</v>
      </c>
      <c r="M73" s="105">
        <f t="shared" si="84"/>
        <v>4463.5891701609335</v>
      </c>
      <c r="N73" s="105">
        <f t="shared" si="84"/>
        <v>4186.2986722828755</v>
      </c>
    </row>
    <row r="74" spans="1:15" s="62" customFormat="1" ht="30" customHeight="1" x14ac:dyDescent="0.2">
      <c r="A74" s="207" t="s">
        <v>12</v>
      </c>
      <c r="B74" s="207"/>
      <c r="C74" s="105">
        <v>2190.75</v>
      </c>
      <c r="D74" s="105">
        <v>2387.83</v>
      </c>
      <c r="E74" s="105">
        <v>2396.5</v>
      </c>
      <c r="F74" s="105">
        <v>2360.83</v>
      </c>
      <c r="G74" s="105">
        <v>2338.6</v>
      </c>
      <c r="H74" s="105">
        <v>2349.63</v>
      </c>
      <c r="I74" s="105">
        <v>2605.3000000000002</v>
      </c>
      <c r="J74" s="105">
        <v>2631.86</v>
      </c>
      <c r="K74" s="105">
        <v>2580.61</v>
      </c>
      <c r="L74" s="105">
        <v>2625.93</v>
      </c>
      <c r="M74" s="105">
        <v>2678.81</v>
      </c>
      <c r="N74" s="105">
        <v>2629.95</v>
      </c>
    </row>
    <row r="75" spans="1:15" s="62" customFormat="1" ht="30" customHeight="1" x14ac:dyDescent="0.2">
      <c r="A75" s="207" t="s">
        <v>13</v>
      </c>
      <c r="B75" s="207"/>
      <c r="C75" s="105">
        <v>1062840.8600000001</v>
      </c>
      <c r="D75" s="105">
        <v>1005852.64</v>
      </c>
      <c r="E75" s="105">
        <v>1061271.9099999999</v>
      </c>
      <c r="F75" s="105">
        <v>1054812.9099999999</v>
      </c>
      <c r="G75" s="105">
        <v>1225755.28</v>
      </c>
      <c r="H75" s="105">
        <v>1196033.42</v>
      </c>
      <c r="I75" s="105">
        <v>1199141.3</v>
      </c>
      <c r="J75" s="105">
        <v>1190677.68</v>
      </c>
      <c r="K75" s="105">
        <v>1191060.47</v>
      </c>
      <c r="L75" s="105">
        <v>1224563.2</v>
      </c>
      <c r="M75" s="105">
        <v>1233059.31</v>
      </c>
      <c r="N75" s="105">
        <v>1232300.3600000001</v>
      </c>
    </row>
    <row r="76" spans="1:15" s="62" customFormat="1" ht="34.5" customHeight="1" x14ac:dyDescent="0.2">
      <c r="A76" s="207" t="s">
        <v>107</v>
      </c>
      <c r="B76" s="207"/>
      <c r="C76" s="104">
        <v>1.3877530593224248E-3</v>
      </c>
      <c r="D76" s="104">
        <v>1.6421020396035003E-3</v>
      </c>
      <c r="E76" s="104">
        <v>1.3180235089267896E-3</v>
      </c>
      <c r="F76" s="104">
        <v>1.3576726732365124E-3</v>
      </c>
      <c r="G76" s="104">
        <v>1.1641588970015095E-3</v>
      </c>
      <c r="H76" s="104">
        <v>1.3112941670560048E-3</v>
      </c>
      <c r="I76" s="104">
        <v>1.3606192843505025E-3</v>
      </c>
      <c r="J76" s="104">
        <v>1.2263054953632422E-3</v>
      </c>
      <c r="K76" s="104">
        <v>1.509630446504135E-3</v>
      </c>
      <c r="L76" s="104">
        <v>1.3920885063529111E-3</v>
      </c>
      <c r="M76" s="104">
        <v>1.4474398398248449E-3</v>
      </c>
      <c r="N76" s="104">
        <v>1.2629621176795532E-3</v>
      </c>
    </row>
    <row r="77" spans="1:15" ht="15" customHeight="1" x14ac:dyDescent="0.2"/>
    <row r="78" spans="1:15" ht="93" customHeight="1" x14ac:dyDescent="0.2">
      <c r="A78" s="200" t="s">
        <v>108</v>
      </c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69"/>
    </row>
    <row r="79" spans="1:15" ht="30" customHeight="1" x14ac:dyDescent="0.2">
      <c r="A79" s="199" t="s">
        <v>109</v>
      </c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</row>
    <row r="80" spans="1:15" ht="19.5" customHeight="1" x14ac:dyDescent="0.2">
      <c r="A80" s="68" t="s">
        <v>110</v>
      </c>
    </row>
  </sheetData>
  <mergeCells count="15">
    <mergeCell ref="A76:B76"/>
    <mergeCell ref="A78:N78"/>
    <mergeCell ref="A79:N79"/>
    <mergeCell ref="D27:N27"/>
    <mergeCell ref="D43:N43"/>
    <mergeCell ref="D59:N59"/>
    <mergeCell ref="A73:B73"/>
    <mergeCell ref="A74:B74"/>
    <mergeCell ref="A75:B75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27649" r:id="rId4">
          <objectPr defaultSize="0" autoPict="0" r:id="rId5">
            <anchor moveWithCells="1" sizeWithCells="1">
              <from>
                <xdr:col>1</xdr:col>
                <xdr:colOff>0</xdr:colOff>
                <xdr:row>76</xdr:row>
                <xdr:rowOff>0</xdr:rowOff>
              </from>
              <to>
                <xdr:col>1</xdr:col>
                <xdr:colOff>142875</xdr:colOff>
                <xdr:row>76</xdr:row>
                <xdr:rowOff>0</xdr:rowOff>
              </to>
            </anchor>
          </objectPr>
        </oleObject>
      </mc:Choice>
      <mc:Fallback>
        <oleObject progId="Equation.3" shapeId="27649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3">
    <tabColor rgb="FFFFFF00"/>
  </sheetPr>
  <dimension ref="A1:O9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37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5" s="58" customFormat="1" ht="34.5" customHeight="1" x14ac:dyDescent="0.25">
      <c r="A7" s="206" t="s">
        <v>60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137"/>
      <c r="C8" s="137"/>
      <c r="D8" s="137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78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135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4.25" customHeight="1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4.25" customHeight="1" x14ac:dyDescent="0.2">
      <c r="A13" s="80"/>
      <c r="B13" s="86" t="s">
        <v>61</v>
      </c>
      <c r="C13" s="155">
        <f>SUM(C14:C17)</f>
        <v>4509.183</v>
      </c>
      <c r="D13" s="155">
        <f t="shared" ref="D13:N13" si="0">SUM(D14:D17)</f>
        <v>4706.2629999999999</v>
      </c>
      <c r="E13" s="156">
        <f t="shared" si="0"/>
        <v>4714.933</v>
      </c>
      <c r="F13" s="156">
        <f t="shared" si="0"/>
        <v>4679.2629999999999</v>
      </c>
      <c r="G13" s="156">
        <f t="shared" si="0"/>
        <v>4657.0329999999994</v>
      </c>
      <c r="H13" s="156">
        <f t="shared" si="0"/>
        <v>4668.0630000000001</v>
      </c>
      <c r="I13" s="156">
        <f t="shared" si="0"/>
        <v>4923.7330000000002</v>
      </c>
      <c r="J13" s="156">
        <f t="shared" si="0"/>
        <v>4950.2929999999997</v>
      </c>
      <c r="K13" s="156">
        <f t="shared" si="0"/>
        <v>4899.0429999999997</v>
      </c>
      <c r="L13" s="156">
        <f t="shared" si="0"/>
        <v>5229.2135300365253</v>
      </c>
      <c r="M13" s="156">
        <f t="shared" si="0"/>
        <v>5282.0935300365245</v>
      </c>
      <c r="N13" s="156">
        <f t="shared" si="0"/>
        <v>5233.2335300365248</v>
      </c>
      <c r="O13" s="61"/>
    </row>
    <row r="14" spans="1:15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8</v>
      </c>
      <c r="C15" s="146">
        <v>1992.63</v>
      </c>
      <c r="D15" s="146">
        <v>1992.63</v>
      </c>
      <c r="E15" s="99">
        <v>1992.63</v>
      </c>
      <c r="F15" s="99">
        <v>1992.63</v>
      </c>
      <c r="G15" s="147">
        <v>1992.63</v>
      </c>
      <c r="H15" s="146">
        <v>1992.63</v>
      </c>
      <c r="I15" s="146">
        <v>1992.63</v>
      </c>
      <c r="J15" s="146">
        <v>1992.63</v>
      </c>
      <c r="K15" s="146">
        <v>1992.63</v>
      </c>
      <c r="L15" s="146">
        <v>2232.17</v>
      </c>
      <c r="M15" s="146">
        <v>2232.17</v>
      </c>
      <c r="N15" s="148">
        <v>2232.17</v>
      </c>
      <c r="O15" s="61"/>
    </row>
    <row r="16" spans="1:15" s="13" customFormat="1" ht="15" customHeight="1" x14ac:dyDescent="0.2">
      <c r="A16" s="29"/>
      <c r="B16" s="89" t="s">
        <v>9</v>
      </c>
      <c r="C16" s="114">
        <v>320.44</v>
      </c>
      <c r="D16" s="114">
        <v>320.44</v>
      </c>
      <c r="E16" s="115">
        <v>320.44</v>
      </c>
      <c r="F16" s="115">
        <v>320.44</v>
      </c>
      <c r="G16" s="116">
        <v>320.44</v>
      </c>
      <c r="H16" s="114">
        <v>320.44</v>
      </c>
      <c r="I16" s="114">
        <v>320.44</v>
      </c>
      <c r="J16" s="114">
        <v>320.44</v>
      </c>
      <c r="K16" s="114">
        <v>320.44</v>
      </c>
      <c r="L16" s="114">
        <v>364.99</v>
      </c>
      <c r="M16" s="114">
        <v>364.99</v>
      </c>
      <c r="N16" s="117">
        <v>364.99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82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9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18">
        <f t="shared" si="1"/>
        <v>1233361.28</v>
      </c>
      <c r="O18" s="61"/>
    </row>
    <row r="19" spans="1:15" s="13" customFormat="1" ht="25.5" x14ac:dyDescent="0.2">
      <c r="A19" s="178"/>
      <c r="B19" s="91" t="s">
        <v>116</v>
      </c>
      <c r="C19" s="146">
        <v>850.58</v>
      </c>
      <c r="D19" s="146">
        <v>1150.1400000000001</v>
      </c>
      <c r="E19" s="99">
        <v>1178.98</v>
      </c>
      <c r="F19" s="99">
        <v>1377.28</v>
      </c>
      <c r="G19" s="147">
        <v>1386.94</v>
      </c>
      <c r="H19" s="146">
        <v>1354.18</v>
      </c>
      <c r="I19" s="146">
        <v>1251.6600000000001</v>
      </c>
      <c r="J19" s="146">
        <v>1551.11</v>
      </c>
      <c r="K19" s="146">
        <v>1608.71</v>
      </c>
      <c r="L19" s="146">
        <v>1250.6400000000001</v>
      </c>
      <c r="M19" s="146">
        <v>1067.3599999999999</v>
      </c>
      <c r="N19" s="158">
        <v>1060.92</v>
      </c>
      <c r="O19" s="61"/>
    </row>
    <row r="20" spans="1:15" s="13" customFormat="1" ht="26.25" thickBot="1" x14ac:dyDescent="0.25">
      <c r="A20" s="178"/>
      <c r="B20" s="90" t="s">
        <v>117</v>
      </c>
      <c r="C20" s="101">
        <v>1062840.8600000001</v>
      </c>
      <c r="D20" s="101">
        <v>1005852.64</v>
      </c>
      <c r="E20" s="102">
        <v>1061271.9099999999</v>
      </c>
      <c r="F20" s="102">
        <v>1054812.9099999999</v>
      </c>
      <c r="G20" s="157">
        <v>1225755.28</v>
      </c>
      <c r="H20" s="101">
        <v>1196033.42</v>
      </c>
      <c r="I20" s="101">
        <v>1199141.3</v>
      </c>
      <c r="J20" s="101">
        <v>1190677.68</v>
      </c>
      <c r="K20" s="101">
        <v>1191060.47</v>
      </c>
      <c r="L20" s="101">
        <v>1224563.2</v>
      </c>
      <c r="M20" s="101">
        <v>1233059.31</v>
      </c>
      <c r="N20" s="148">
        <v>1232300.3600000001</v>
      </c>
      <c r="O20" s="61"/>
    </row>
    <row r="21" spans="1:15" s="13" customFormat="1" ht="27.75" customHeight="1" thickBot="1" x14ac:dyDescent="0.25">
      <c r="A21" s="36" t="s">
        <v>10</v>
      </c>
      <c r="B21" s="37" t="s">
        <v>11</v>
      </c>
      <c r="C21" s="20"/>
      <c r="D21" s="20"/>
      <c r="E21" s="21"/>
      <c r="F21" s="21"/>
      <c r="G21" s="66"/>
      <c r="H21" s="20"/>
      <c r="I21" s="20"/>
      <c r="J21" s="20"/>
      <c r="K21" s="20"/>
      <c r="L21" s="20"/>
      <c r="M21" s="20"/>
      <c r="N21" s="55"/>
      <c r="O21" s="61"/>
    </row>
    <row r="22" spans="1:15" s="13" customFormat="1" ht="14.25" customHeight="1" x14ac:dyDescent="0.2">
      <c r="A22" s="85"/>
      <c r="B22" s="88" t="s">
        <v>61</v>
      </c>
      <c r="C22" s="159">
        <f>SUM(C23:C25)</f>
        <v>2516.5529999999999</v>
      </c>
      <c r="D22" s="159">
        <f t="shared" ref="D22:N22" si="2">SUM(D23:D25)</f>
        <v>2713.6329999999998</v>
      </c>
      <c r="E22" s="160">
        <f t="shared" si="2"/>
        <v>2722.3029999999999</v>
      </c>
      <c r="F22" s="160">
        <f t="shared" si="2"/>
        <v>2686.6329999999998</v>
      </c>
      <c r="G22" s="160">
        <f t="shared" si="2"/>
        <v>2664.4029999999998</v>
      </c>
      <c r="H22" s="160">
        <f t="shared" si="2"/>
        <v>2675.433</v>
      </c>
      <c r="I22" s="160">
        <f t="shared" si="2"/>
        <v>2931.1030000000001</v>
      </c>
      <c r="J22" s="160">
        <f t="shared" si="2"/>
        <v>2957.663</v>
      </c>
      <c r="K22" s="160">
        <f t="shared" si="2"/>
        <v>2906.413</v>
      </c>
      <c r="L22" s="160">
        <f t="shared" si="2"/>
        <v>2997.0435300365252</v>
      </c>
      <c r="M22" s="160">
        <f t="shared" si="2"/>
        <v>3049.9235300365253</v>
      </c>
      <c r="N22" s="161">
        <f t="shared" si="2"/>
        <v>3001.0635300365248</v>
      </c>
      <c r="O22" s="61"/>
    </row>
    <row r="23" spans="1:15" s="13" customFormat="1" ht="15" customHeight="1" x14ac:dyDescent="0.2">
      <c r="A23" s="25"/>
      <c r="B23" s="89" t="s">
        <v>113</v>
      </c>
      <c r="C23" s="101">
        <f t="shared" ref="C23:N23" si="3">C14</f>
        <v>2190.75</v>
      </c>
      <c r="D23" s="101">
        <f t="shared" si="3"/>
        <v>2387.83</v>
      </c>
      <c r="E23" s="102">
        <f t="shared" si="3"/>
        <v>2396.5</v>
      </c>
      <c r="F23" s="102">
        <f t="shared" si="3"/>
        <v>2360.83</v>
      </c>
      <c r="G23" s="157">
        <f t="shared" si="3"/>
        <v>2338.6</v>
      </c>
      <c r="H23" s="101">
        <f t="shared" si="3"/>
        <v>2349.63</v>
      </c>
      <c r="I23" s="101">
        <f t="shared" si="3"/>
        <v>2605.3000000000002</v>
      </c>
      <c r="J23" s="101">
        <f t="shared" si="3"/>
        <v>2631.86</v>
      </c>
      <c r="K23" s="101">
        <f t="shared" si="3"/>
        <v>2580.61</v>
      </c>
      <c r="L23" s="101">
        <f t="shared" si="3"/>
        <v>2625.93</v>
      </c>
      <c r="M23" s="101">
        <f t="shared" si="3"/>
        <v>2678.81</v>
      </c>
      <c r="N23" s="158">
        <f t="shared" si="3"/>
        <v>2629.95</v>
      </c>
    </row>
    <row r="24" spans="1:15" s="13" customFormat="1" ht="15" customHeight="1" x14ac:dyDescent="0.2">
      <c r="A24" s="40"/>
      <c r="B24" s="90" t="s">
        <v>9</v>
      </c>
      <c r="C24" s="114">
        <f t="shared" ref="C24:N24" si="4">C16</f>
        <v>320.44</v>
      </c>
      <c r="D24" s="114">
        <f t="shared" si="4"/>
        <v>320.44</v>
      </c>
      <c r="E24" s="115">
        <f t="shared" si="4"/>
        <v>320.44</v>
      </c>
      <c r="F24" s="115">
        <f t="shared" si="4"/>
        <v>320.44</v>
      </c>
      <c r="G24" s="121">
        <f t="shared" si="4"/>
        <v>320.44</v>
      </c>
      <c r="H24" s="115">
        <f t="shared" si="4"/>
        <v>320.44</v>
      </c>
      <c r="I24" s="115">
        <f t="shared" si="4"/>
        <v>320.44</v>
      </c>
      <c r="J24" s="115">
        <f t="shared" si="4"/>
        <v>320.44</v>
      </c>
      <c r="K24" s="115">
        <f t="shared" si="4"/>
        <v>320.44</v>
      </c>
      <c r="L24" s="115">
        <f t="shared" si="4"/>
        <v>364.99</v>
      </c>
      <c r="M24" s="115">
        <f t="shared" si="4"/>
        <v>364.99</v>
      </c>
      <c r="N24" s="122">
        <f t="shared" si="4"/>
        <v>364.99</v>
      </c>
    </row>
    <row r="25" spans="1:15" s="13" customFormat="1" ht="15" customHeight="1" x14ac:dyDescent="0.2">
      <c r="A25" s="81"/>
      <c r="B25" s="91" t="s">
        <v>42</v>
      </c>
      <c r="C25" s="106">
        <f t="shared" ref="C25:N25" si="5">C17</f>
        <v>5.3629999999999995</v>
      </c>
      <c r="D25" s="106">
        <f t="shared" si="5"/>
        <v>5.3629999999999995</v>
      </c>
      <c r="E25" s="107">
        <f t="shared" si="5"/>
        <v>5.3629999999999995</v>
      </c>
      <c r="F25" s="107">
        <f t="shared" si="5"/>
        <v>5.3629999999999995</v>
      </c>
      <c r="G25" s="108">
        <f t="shared" si="5"/>
        <v>5.3629999999999995</v>
      </c>
      <c r="H25" s="106">
        <f t="shared" si="5"/>
        <v>5.3629999999999995</v>
      </c>
      <c r="I25" s="106">
        <f t="shared" si="5"/>
        <v>5.3629999999999995</v>
      </c>
      <c r="J25" s="106">
        <f t="shared" si="5"/>
        <v>5.3629999999999995</v>
      </c>
      <c r="K25" s="106">
        <f t="shared" si="5"/>
        <v>5.3629999999999995</v>
      </c>
      <c r="L25" s="106">
        <f t="shared" si="5"/>
        <v>6.1235300365250511</v>
      </c>
      <c r="M25" s="106">
        <f t="shared" si="5"/>
        <v>6.1235300365250511</v>
      </c>
      <c r="N25" s="109">
        <f t="shared" si="5"/>
        <v>6.1235300365250511</v>
      </c>
    </row>
    <row r="26" spans="1:15" s="13" customFormat="1" ht="25.5" x14ac:dyDescent="0.2">
      <c r="A26" s="81"/>
      <c r="B26" s="87" t="s">
        <v>118</v>
      </c>
      <c r="C26" s="119">
        <f>SUM(C27:C28)</f>
        <v>1063691.4400000002</v>
      </c>
      <c r="D26" s="119">
        <f t="shared" ref="D26" si="6">SUM(D27:D28)</f>
        <v>1007002.78</v>
      </c>
      <c r="E26" s="120">
        <f t="shared" ref="E26" si="7">SUM(E27:E28)</f>
        <v>1062450.8899999999</v>
      </c>
      <c r="F26" s="120">
        <f t="shared" ref="F26" si="8">SUM(F27:F28)</f>
        <v>1056190.19</v>
      </c>
      <c r="G26" s="119">
        <f t="shared" ref="G26" si="9">SUM(G27:G28)</f>
        <v>1227142.22</v>
      </c>
      <c r="H26" s="119">
        <f t="shared" ref="H26" si="10">SUM(H27:H28)</f>
        <v>1197387.5999999999</v>
      </c>
      <c r="I26" s="119">
        <f t="shared" ref="I26" si="11">SUM(I27:I28)</f>
        <v>1200392.96</v>
      </c>
      <c r="J26" s="119">
        <f t="shared" ref="J26" si="12">SUM(J27:J28)</f>
        <v>1192228.79</v>
      </c>
      <c r="K26" s="119">
        <f t="shared" ref="K26" si="13">SUM(K27:K28)</f>
        <v>1192669.18</v>
      </c>
      <c r="L26" s="119">
        <f t="shared" ref="L26" si="14">SUM(L27:L28)</f>
        <v>1225813.8399999999</v>
      </c>
      <c r="M26" s="119">
        <f t="shared" ref="M26" si="15">SUM(M27:M28)</f>
        <v>1234126.6700000002</v>
      </c>
      <c r="N26" s="127">
        <f t="shared" ref="N26" si="16">SUM(N27:N28)</f>
        <v>1233361.28</v>
      </c>
    </row>
    <row r="27" spans="1:15" s="13" customFormat="1" ht="25.5" x14ac:dyDescent="0.2">
      <c r="A27" s="81"/>
      <c r="B27" s="91" t="s">
        <v>116</v>
      </c>
      <c r="C27" s="146">
        <v>850.58</v>
      </c>
      <c r="D27" s="146">
        <v>1150.1400000000001</v>
      </c>
      <c r="E27" s="99">
        <v>1178.98</v>
      </c>
      <c r="F27" s="99">
        <v>1377.28</v>
      </c>
      <c r="G27" s="147">
        <v>1386.94</v>
      </c>
      <c r="H27" s="146">
        <v>1354.18</v>
      </c>
      <c r="I27" s="146">
        <v>1251.6600000000001</v>
      </c>
      <c r="J27" s="146">
        <v>1551.11</v>
      </c>
      <c r="K27" s="146">
        <v>1608.71</v>
      </c>
      <c r="L27" s="146">
        <v>1250.6400000000001</v>
      </c>
      <c r="M27" s="146">
        <v>1067.3599999999999</v>
      </c>
      <c r="N27" s="158">
        <v>1060.92</v>
      </c>
    </row>
    <row r="28" spans="1:15" s="13" customFormat="1" ht="26.25" thickBot="1" x14ac:dyDescent="0.25">
      <c r="A28" s="32"/>
      <c r="B28" s="186" t="s">
        <v>117</v>
      </c>
      <c r="C28" s="194">
        <v>1062840.8600000001</v>
      </c>
      <c r="D28" s="194">
        <v>1005852.64</v>
      </c>
      <c r="E28" s="173">
        <v>1061271.9099999999</v>
      </c>
      <c r="F28" s="173">
        <v>1054812.9099999999</v>
      </c>
      <c r="G28" s="195">
        <v>1225755.28</v>
      </c>
      <c r="H28" s="194">
        <v>1196033.42</v>
      </c>
      <c r="I28" s="194">
        <v>1199141.3</v>
      </c>
      <c r="J28" s="194">
        <v>1190677.68</v>
      </c>
      <c r="K28" s="194">
        <v>1191060.47</v>
      </c>
      <c r="L28" s="194">
        <v>1224563.2</v>
      </c>
      <c r="M28" s="194">
        <v>1233059.31</v>
      </c>
      <c r="N28" s="188">
        <v>1232300.3600000001</v>
      </c>
    </row>
    <row r="29" spans="1:15" ht="15" customHeight="1" x14ac:dyDescent="0.2"/>
    <row r="30" spans="1:15" ht="15" customHeight="1" x14ac:dyDescent="0.2"/>
    <row r="31" spans="1:15" s="59" customFormat="1" ht="21" customHeight="1" thickBot="1" x14ac:dyDescent="0.25">
      <c r="A31" s="7" t="s">
        <v>79</v>
      </c>
      <c r="B31" s="7"/>
      <c r="C31" s="7"/>
      <c r="D31" s="7"/>
      <c r="E31" s="7"/>
      <c r="F31" s="7"/>
      <c r="G31" s="5"/>
      <c r="H31" s="5"/>
      <c r="I31" s="5"/>
      <c r="J31" s="5"/>
      <c r="K31" s="5"/>
      <c r="L31" s="6"/>
      <c r="M31" s="6"/>
      <c r="N31" s="6"/>
    </row>
    <row r="32" spans="1:15" s="13" customFormat="1" ht="24" customHeight="1" thickBot="1" x14ac:dyDescent="0.25">
      <c r="A32" s="49" t="s">
        <v>0</v>
      </c>
      <c r="B32" s="50" t="s">
        <v>1</v>
      </c>
      <c r="C32" s="51" t="s">
        <v>17</v>
      </c>
      <c r="D32" s="51" t="s">
        <v>18</v>
      </c>
      <c r="E32" s="51" t="s">
        <v>19</v>
      </c>
      <c r="F32" s="51" t="s">
        <v>20</v>
      </c>
      <c r="G32" s="51" t="s">
        <v>21</v>
      </c>
      <c r="H32" s="51" t="s">
        <v>22</v>
      </c>
      <c r="I32" s="51" t="s">
        <v>23</v>
      </c>
      <c r="J32" s="51" t="s">
        <v>24</v>
      </c>
      <c r="K32" s="51" t="s">
        <v>25</v>
      </c>
      <c r="L32" s="51" t="s">
        <v>26</v>
      </c>
      <c r="M32" s="51" t="s">
        <v>27</v>
      </c>
      <c r="N32" s="52" t="s">
        <v>28</v>
      </c>
    </row>
    <row r="33" spans="1:15" s="17" customFormat="1" ht="14.25" customHeight="1" thickBot="1" x14ac:dyDescent="0.25">
      <c r="A33" s="14" t="s">
        <v>14</v>
      </c>
      <c r="B33" s="15" t="s">
        <v>5</v>
      </c>
      <c r="C33" s="135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2"/>
      <c r="O33" s="44"/>
    </row>
    <row r="34" spans="1:15" s="17" customFormat="1" ht="14.25" customHeight="1" thickBot="1" x14ac:dyDescent="0.25">
      <c r="A34" s="18" t="s">
        <v>15</v>
      </c>
      <c r="B34" s="78" t="s">
        <v>7</v>
      </c>
      <c r="C34" s="20"/>
      <c r="D34" s="20"/>
      <c r="E34" s="21"/>
      <c r="F34" s="21"/>
      <c r="G34" s="63"/>
      <c r="H34" s="21"/>
      <c r="I34" s="21"/>
      <c r="J34" s="21"/>
      <c r="K34" s="21"/>
      <c r="L34" s="21"/>
      <c r="M34" s="21"/>
      <c r="N34" s="22"/>
      <c r="O34" s="61"/>
    </row>
    <row r="35" spans="1:15" s="13" customFormat="1" ht="15" customHeight="1" x14ac:dyDescent="0.2">
      <c r="A35" s="80"/>
      <c r="B35" s="86" t="s">
        <v>61</v>
      </c>
      <c r="C35" s="155">
        <f>SUM(C36:C39)</f>
        <v>5292.1630000000005</v>
      </c>
      <c r="D35" s="155">
        <f t="shared" ref="D35:N35" si="17">SUM(D36:D39)</f>
        <v>5489.2430000000004</v>
      </c>
      <c r="E35" s="156">
        <f t="shared" si="17"/>
        <v>5497.9130000000005</v>
      </c>
      <c r="F35" s="156">
        <f t="shared" si="17"/>
        <v>5462.2430000000004</v>
      </c>
      <c r="G35" s="156">
        <f t="shared" si="17"/>
        <v>5440.0129999999999</v>
      </c>
      <c r="H35" s="156">
        <f t="shared" si="17"/>
        <v>5451.0429999999997</v>
      </c>
      <c r="I35" s="156">
        <f t="shared" si="17"/>
        <v>5706.7129999999997</v>
      </c>
      <c r="J35" s="156">
        <f t="shared" si="17"/>
        <v>5733.2730000000001</v>
      </c>
      <c r="K35" s="156">
        <f t="shared" si="17"/>
        <v>5682.0230000000001</v>
      </c>
      <c r="L35" s="156">
        <f t="shared" si="17"/>
        <v>6338.8735300365252</v>
      </c>
      <c r="M35" s="156">
        <f t="shared" si="17"/>
        <v>6391.7535300365244</v>
      </c>
      <c r="N35" s="156">
        <f t="shared" si="17"/>
        <v>6342.8935300365247</v>
      </c>
      <c r="O35" s="61"/>
    </row>
    <row r="36" spans="1:15" s="13" customFormat="1" ht="15" customHeight="1" x14ac:dyDescent="0.2">
      <c r="A36" s="29"/>
      <c r="B36" s="89" t="s">
        <v>113</v>
      </c>
      <c r="C36" s="101">
        <v>2190.75</v>
      </c>
      <c r="D36" s="101">
        <v>2387.83</v>
      </c>
      <c r="E36" s="102">
        <v>2396.5</v>
      </c>
      <c r="F36" s="102">
        <v>2360.83</v>
      </c>
      <c r="G36" s="157">
        <v>2338.6</v>
      </c>
      <c r="H36" s="101">
        <v>2349.63</v>
      </c>
      <c r="I36" s="101">
        <v>2605.3000000000002</v>
      </c>
      <c r="J36" s="101">
        <v>2631.86</v>
      </c>
      <c r="K36" s="101">
        <v>2580.61</v>
      </c>
      <c r="L36" s="101">
        <v>2625.93</v>
      </c>
      <c r="M36" s="101">
        <v>2678.81</v>
      </c>
      <c r="N36" s="158">
        <v>2629.95</v>
      </c>
      <c r="O36" s="61"/>
    </row>
    <row r="37" spans="1:15" s="13" customFormat="1" ht="15" customHeight="1" x14ac:dyDescent="0.2">
      <c r="A37" s="25"/>
      <c r="B37" s="90" t="s">
        <v>8</v>
      </c>
      <c r="C37" s="146">
        <v>2775.61</v>
      </c>
      <c r="D37" s="146">
        <v>2775.61</v>
      </c>
      <c r="E37" s="99">
        <v>2775.61</v>
      </c>
      <c r="F37" s="99">
        <v>2775.61</v>
      </c>
      <c r="G37" s="147">
        <v>2775.61</v>
      </c>
      <c r="H37" s="146">
        <v>2775.61</v>
      </c>
      <c r="I37" s="146">
        <v>2775.61</v>
      </c>
      <c r="J37" s="146">
        <v>2775.61</v>
      </c>
      <c r="K37" s="146">
        <v>2775.61</v>
      </c>
      <c r="L37" s="146">
        <v>3341.83</v>
      </c>
      <c r="M37" s="146">
        <v>3341.83</v>
      </c>
      <c r="N37" s="148">
        <v>3341.83</v>
      </c>
      <c r="O37" s="61"/>
    </row>
    <row r="38" spans="1:15" s="13" customFormat="1" ht="15" customHeight="1" x14ac:dyDescent="0.2">
      <c r="A38" s="29"/>
      <c r="B38" s="89" t="s">
        <v>9</v>
      </c>
      <c r="C38" s="114">
        <v>320.44</v>
      </c>
      <c r="D38" s="114">
        <v>320.44</v>
      </c>
      <c r="E38" s="115">
        <v>320.44</v>
      </c>
      <c r="F38" s="115">
        <v>320.44</v>
      </c>
      <c r="G38" s="116">
        <v>320.44</v>
      </c>
      <c r="H38" s="114">
        <v>320.44</v>
      </c>
      <c r="I38" s="114">
        <v>320.44</v>
      </c>
      <c r="J38" s="114">
        <v>320.44</v>
      </c>
      <c r="K38" s="114">
        <v>320.44</v>
      </c>
      <c r="L38" s="114">
        <v>364.99</v>
      </c>
      <c r="M38" s="114">
        <v>364.99</v>
      </c>
      <c r="N38" s="117">
        <v>364.99</v>
      </c>
      <c r="O38" s="61"/>
    </row>
    <row r="39" spans="1:15" s="13" customFormat="1" x14ac:dyDescent="0.2">
      <c r="A39" s="81"/>
      <c r="B39" s="91" t="s">
        <v>42</v>
      </c>
      <c r="C39" s="106">
        <v>5.3629999999999995</v>
      </c>
      <c r="D39" s="106">
        <v>5.3629999999999995</v>
      </c>
      <c r="E39" s="107">
        <v>5.3629999999999995</v>
      </c>
      <c r="F39" s="107">
        <v>5.3629999999999995</v>
      </c>
      <c r="G39" s="108">
        <v>5.3629999999999995</v>
      </c>
      <c r="H39" s="106">
        <v>5.3629999999999995</v>
      </c>
      <c r="I39" s="106">
        <v>5.3629999999999995</v>
      </c>
      <c r="J39" s="106">
        <v>5.3629999999999995</v>
      </c>
      <c r="K39" s="106">
        <v>5.3629999999999995</v>
      </c>
      <c r="L39" s="106">
        <v>6.1235300365250511</v>
      </c>
      <c r="M39" s="106">
        <v>6.1235300365250511</v>
      </c>
      <c r="N39" s="109">
        <v>6.1235300365250511</v>
      </c>
      <c r="O39" s="61"/>
    </row>
    <row r="40" spans="1:15" s="13" customFormat="1" ht="25.5" x14ac:dyDescent="0.2">
      <c r="A40" s="82"/>
      <c r="B40" s="87" t="s">
        <v>118</v>
      </c>
      <c r="C40" s="119">
        <f>SUM(C41:C42)</f>
        <v>1063691.4400000002</v>
      </c>
      <c r="D40" s="119">
        <f t="shared" ref="D40" si="18">SUM(D41:D42)</f>
        <v>1007002.78</v>
      </c>
      <c r="E40" s="120">
        <f t="shared" ref="E40" si="19">SUM(E41:E42)</f>
        <v>1062450.8899999999</v>
      </c>
      <c r="F40" s="120">
        <f t="shared" ref="F40" si="20">SUM(F41:F42)</f>
        <v>1056190.19</v>
      </c>
      <c r="G40" s="119">
        <f t="shared" ref="G40" si="21">SUM(G41:G42)</f>
        <v>1227142.22</v>
      </c>
      <c r="H40" s="119">
        <f t="shared" ref="H40" si="22">SUM(H41:H42)</f>
        <v>1197387.5999999999</v>
      </c>
      <c r="I40" s="119">
        <f t="shared" ref="I40" si="23">SUM(I41:I42)</f>
        <v>1200392.96</v>
      </c>
      <c r="J40" s="119">
        <f t="shared" ref="J40" si="24">SUM(J41:J42)</f>
        <v>1192228.79</v>
      </c>
      <c r="K40" s="119">
        <f t="shared" ref="K40" si="25">SUM(K41:K42)</f>
        <v>1192669.18</v>
      </c>
      <c r="L40" s="119">
        <f t="shared" ref="L40" si="26">SUM(L41:L42)</f>
        <v>1225813.8399999999</v>
      </c>
      <c r="M40" s="119">
        <f t="shared" ref="M40" si="27">SUM(M41:M42)</f>
        <v>1234126.6700000002</v>
      </c>
      <c r="N40" s="118">
        <f t="shared" ref="N40" si="28">SUM(N41:N42)</f>
        <v>1233361.28</v>
      </c>
      <c r="O40" s="61"/>
    </row>
    <row r="41" spans="1:15" s="13" customFormat="1" ht="25.5" x14ac:dyDescent="0.2">
      <c r="A41" s="178"/>
      <c r="B41" s="91" t="s">
        <v>116</v>
      </c>
      <c r="C41" s="146">
        <v>850.58</v>
      </c>
      <c r="D41" s="146">
        <v>1150.1400000000001</v>
      </c>
      <c r="E41" s="99">
        <v>1178.98</v>
      </c>
      <c r="F41" s="99">
        <v>1377.28</v>
      </c>
      <c r="G41" s="147">
        <v>1386.94</v>
      </c>
      <c r="H41" s="146">
        <v>1354.18</v>
      </c>
      <c r="I41" s="146">
        <v>1251.6600000000001</v>
      </c>
      <c r="J41" s="146">
        <v>1551.11</v>
      </c>
      <c r="K41" s="146">
        <v>1608.71</v>
      </c>
      <c r="L41" s="146">
        <v>1250.6400000000001</v>
      </c>
      <c r="M41" s="146">
        <v>1067.3599999999999</v>
      </c>
      <c r="N41" s="158">
        <v>1060.92</v>
      </c>
      <c r="O41" s="61"/>
    </row>
    <row r="42" spans="1:15" s="13" customFormat="1" ht="26.25" thickBot="1" x14ac:dyDescent="0.25">
      <c r="A42" s="178"/>
      <c r="B42" s="90" t="s">
        <v>117</v>
      </c>
      <c r="C42" s="101">
        <v>1062840.8600000001</v>
      </c>
      <c r="D42" s="101">
        <v>1005852.64</v>
      </c>
      <c r="E42" s="102">
        <v>1061271.9099999999</v>
      </c>
      <c r="F42" s="102">
        <v>1054812.9099999999</v>
      </c>
      <c r="G42" s="157">
        <v>1225755.28</v>
      </c>
      <c r="H42" s="101">
        <v>1196033.42</v>
      </c>
      <c r="I42" s="101">
        <v>1199141.3</v>
      </c>
      <c r="J42" s="101">
        <v>1190677.68</v>
      </c>
      <c r="K42" s="101">
        <v>1191060.47</v>
      </c>
      <c r="L42" s="101">
        <v>1224563.2</v>
      </c>
      <c r="M42" s="101">
        <v>1233059.31</v>
      </c>
      <c r="N42" s="148">
        <v>1232300.3600000001</v>
      </c>
    </row>
    <row r="43" spans="1:15" s="13" customFormat="1" ht="26.25" thickBot="1" x14ac:dyDescent="0.25">
      <c r="A43" s="36" t="s">
        <v>16</v>
      </c>
      <c r="B43" s="37" t="s">
        <v>11</v>
      </c>
      <c r="C43" s="20"/>
      <c r="D43" s="20"/>
      <c r="E43" s="21"/>
      <c r="F43" s="21"/>
      <c r="G43" s="66"/>
      <c r="H43" s="20"/>
      <c r="I43" s="20"/>
      <c r="J43" s="20"/>
      <c r="K43" s="20"/>
      <c r="L43" s="20"/>
      <c r="M43" s="20"/>
      <c r="N43" s="55"/>
    </row>
    <row r="44" spans="1:15" s="13" customFormat="1" ht="14.25" customHeight="1" x14ac:dyDescent="0.2">
      <c r="A44" s="85"/>
      <c r="B44" s="88" t="s">
        <v>61</v>
      </c>
      <c r="C44" s="159">
        <f>SUM(C45:C47)</f>
        <v>2516.5529999999999</v>
      </c>
      <c r="D44" s="159">
        <f t="shared" ref="D44:N44" si="29">SUM(D45:D47)</f>
        <v>2713.6329999999998</v>
      </c>
      <c r="E44" s="160">
        <f t="shared" si="29"/>
        <v>2722.3029999999999</v>
      </c>
      <c r="F44" s="160">
        <f t="shared" si="29"/>
        <v>2686.6329999999998</v>
      </c>
      <c r="G44" s="160">
        <f t="shared" si="29"/>
        <v>2664.4029999999998</v>
      </c>
      <c r="H44" s="160">
        <f t="shared" si="29"/>
        <v>2675.433</v>
      </c>
      <c r="I44" s="160">
        <f t="shared" si="29"/>
        <v>2931.1030000000001</v>
      </c>
      <c r="J44" s="160">
        <f t="shared" si="29"/>
        <v>2957.663</v>
      </c>
      <c r="K44" s="160">
        <f t="shared" si="29"/>
        <v>2906.413</v>
      </c>
      <c r="L44" s="160">
        <f t="shared" si="29"/>
        <v>2997.0435300365252</v>
      </c>
      <c r="M44" s="160">
        <f t="shared" si="29"/>
        <v>3049.9235300365253</v>
      </c>
      <c r="N44" s="161">
        <f t="shared" si="29"/>
        <v>3001.0635300365248</v>
      </c>
    </row>
    <row r="45" spans="1:15" s="13" customFormat="1" ht="15" customHeight="1" x14ac:dyDescent="0.2">
      <c r="A45" s="25"/>
      <c r="B45" s="89" t="s">
        <v>113</v>
      </c>
      <c r="C45" s="101">
        <f t="shared" ref="C45:N45" si="30">C36</f>
        <v>2190.75</v>
      </c>
      <c r="D45" s="101">
        <f t="shared" si="30"/>
        <v>2387.83</v>
      </c>
      <c r="E45" s="102">
        <f t="shared" si="30"/>
        <v>2396.5</v>
      </c>
      <c r="F45" s="102">
        <f t="shared" si="30"/>
        <v>2360.83</v>
      </c>
      <c r="G45" s="157">
        <f t="shared" si="30"/>
        <v>2338.6</v>
      </c>
      <c r="H45" s="101">
        <f t="shared" si="30"/>
        <v>2349.63</v>
      </c>
      <c r="I45" s="101">
        <f t="shared" si="30"/>
        <v>2605.3000000000002</v>
      </c>
      <c r="J45" s="101">
        <f t="shared" si="30"/>
        <v>2631.86</v>
      </c>
      <c r="K45" s="101">
        <f t="shared" si="30"/>
        <v>2580.61</v>
      </c>
      <c r="L45" s="101">
        <f t="shared" si="30"/>
        <v>2625.93</v>
      </c>
      <c r="M45" s="101">
        <f t="shared" si="30"/>
        <v>2678.81</v>
      </c>
      <c r="N45" s="158">
        <f t="shared" si="30"/>
        <v>2629.95</v>
      </c>
    </row>
    <row r="46" spans="1:15" s="13" customFormat="1" ht="15" customHeight="1" x14ac:dyDescent="0.2">
      <c r="A46" s="40"/>
      <c r="B46" s="90" t="s">
        <v>9</v>
      </c>
      <c r="C46" s="114">
        <f t="shared" ref="C46:N46" si="31">C38</f>
        <v>320.44</v>
      </c>
      <c r="D46" s="114">
        <f t="shared" si="31"/>
        <v>320.44</v>
      </c>
      <c r="E46" s="115">
        <f t="shared" si="31"/>
        <v>320.44</v>
      </c>
      <c r="F46" s="115">
        <f t="shared" si="31"/>
        <v>320.44</v>
      </c>
      <c r="G46" s="121">
        <f t="shared" si="31"/>
        <v>320.44</v>
      </c>
      <c r="H46" s="115">
        <f t="shared" si="31"/>
        <v>320.44</v>
      </c>
      <c r="I46" s="115">
        <f t="shared" si="31"/>
        <v>320.44</v>
      </c>
      <c r="J46" s="115">
        <f t="shared" si="31"/>
        <v>320.44</v>
      </c>
      <c r="K46" s="115">
        <f t="shared" si="31"/>
        <v>320.44</v>
      </c>
      <c r="L46" s="115">
        <f t="shared" si="31"/>
        <v>364.99</v>
      </c>
      <c r="M46" s="115">
        <f t="shared" si="31"/>
        <v>364.99</v>
      </c>
      <c r="N46" s="122">
        <f t="shared" si="31"/>
        <v>364.99</v>
      </c>
    </row>
    <row r="47" spans="1:15" s="13" customFormat="1" ht="15" customHeight="1" x14ac:dyDescent="0.2">
      <c r="A47" s="81"/>
      <c r="B47" s="91" t="s">
        <v>42</v>
      </c>
      <c r="C47" s="106">
        <f t="shared" ref="C47:N47" si="32">C39</f>
        <v>5.3629999999999995</v>
      </c>
      <c r="D47" s="106">
        <f t="shared" si="32"/>
        <v>5.3629999999999995</v>
      </c>
      <c r="E47" s="107">
        <f t="shared" si="32"/>
        <v>5.3629999999999995</v>
      </c>
      <c r="F47" s="107">
        <f t="shared" si="32"/>
        <v>5.3629999999999995</v>
      </c>
      <c r="G47" s="108">
        <f t="shared" si="32"/>
        <v>5.3629999999999995</v>
      </c>
      <c r="H47" s="106">
        <f t="shared" si="32"/>
        <v>5.3629999999999995</v>
      </c>
      <c r="I47" s="106">
        <f t="shared" si="32"/>
        <v>5.3629999999999995</v>
      </c>
      <c r="J47" s="106">
        <f t="shared" si="32"/>
        <v>5.3629999999999995</v>
      </c>
      <c r="K47" s="106">
        <f t="shared" si="32"/>
        <v>5.3629999999999995</v>
      </c>
      <c r="L47" s="106">
        <f t="shared" si="32"/>
        <v>6.1235300365250511</v>
      </c>
      <c r="M47" s="106">
        <f t="shared" si="32"/>
        <v>6.1235300365250511</v>
      </c>
      <c r="N47" s="109">
        <f t="shared" si="32"/>
        <v>6.1235300365250511</v>
      </c>
    </row>
    <row r="48" spans="1:15" s="13" customFormat="1" ht="25.5" x14ac:dyDescent="0.2">
      <c r="A48" s="81"/>
      <c r="B48" s="87" t="s">
        <v>118</v>
      </c>
      <c r="C48" s="119">
        <f>SUM(C49:C50)</f>
        <v>1063691.4400000002</v>
      </c>
      <c r="D48" s="119">
        <f t="shared" ref="D48" si="33">SUM(D49:D50)</f>
        <v>1007002.78</v>
      </c>
      <c r="E48" s="120">
        <f t="shared" ref="E48" si="34">SUM(E49:E50)</f>
        <v>1062450.8899999999</v>
      </c>
      <c r="F48" s="120">
        <f t="shared" ref="F48" si="35">SUM(F49:F50)</f>
        <v>1056190.19</v>
      </c>
      <c r="G48" s="119">
        <f t="shared" ref="G48" si="36">SUM(G49:G50)</f>
        <v>1227142.22</v>
      </c>
      <c r="H48" s="119">
        <f t="shared" ref="H48" si="37">SUM(H49:H50)</f>
        <v>1197387.5999999999</v>
      </c>
      <c r="I48" s="119">
        <f t="shared" ref="I48" si="38">SUM(I49:I50)</f>
        <v>1200392.96</v>
      </c>
      <c r="J48" s="119">
        <f t="shared" ref="J48" si="39">SUM(J49:J50)</f>
        <v>1192228.79</v>
      </c>
      <c r="K48" s="119">
        <f t="shared" ref="K48" si="40">SUM(K49:K50)</f>
        <v>1192669.18</v>
      </c>
      <c r="L48" s="119">
        <f t="shared" ref="L48" si="41">SUM(L49:L50)</f>
        <v>1225813.8399999999</v>
      </c>
      <c r="M48" s="119">
        <f t="shared" ref="M48" si="42">SUM(M49:M50)</f>
        <v>1234126.6700000002</v>
      </c>
      <c r="N48" s="127">
        <f t="shared" ref="N48" si="43">SUM(N49:N50)</f>
        <v>1233361.28</v>
      </c>
    </row>
    <row r="49" spans="1:15" s="13" customFormat="1" ht="25.5" x14ac:dyDescent="0.2">
      <c r="A49" s="81"/>
      <c r="B49" s="91" t="s">
        <v>116</v>
      </c>
      <c r="C49" s="146">
        <v>850.58</v>
      </c>
      <c r="D49" s="146">
        <v>1150.1400000000001</v>
      </c>
      <c r="E49" s="99">
        <v>1178.98</v>
      </c>
      <c r="F49" s="99">
        <v>1377.28</v>
      </c>
      <c r="G49" s="147">
        <v>1386.94</v>
      </c>
      <c r="H49" s="146">
        <v>1354.18</v>
      </c>
      <c r="I49" s="146">
        <v>1251.6600000000001</v>
      </c>
      <c r="J49" s="146">
        <v>1551.11</v>
      </c>
      <c r="K49" s="146">
        <v>1608.71</v>
      </c>
      <c r="L49" s="146">
        <v>1250.6400000000001</v>
      </c>
      <c r="M49" s="146">
        <v>1067.3599999999999</v>
      </c>
      <c r="N49" s="158">
        <v>1060.92</v>
      </c>
    </row>
    <row r="50" spans="1:15" s="13" customFormat="1" ht="26.25" thickBot="1" x14ac:dyDescent="0.25">
      <c r="A50" s="32"/>
      <c r="B50" s="186" t="s">
        <v>117</v>
      </c>
      <c r="C50" s="194">
        <v>1062840.8600000001</v>
      </c>
      <c r="D50" s="194">
        <v>1005852.64</v>
      </c>
      <c r="E50" s="173">
        <v>1061271.9099999999</v>
      </c>
      <c r="F50" s="173">
        <v>1054812.9099999999</v>
      </c>
      <c r="G50" s="195">
        <v>1225755.28</v>
      </c>
      <c r="H50" s="194">
        <v>1196033.42</v>
      </c>
      <c r="I50" s="194">
        <v>1199141.3</v>
      </c>
      <c r="J50" s="194">
        <v>1190677.68</v>
      </c>
      <c r="K50" s="194">
        <v>1191060.47</v>
      </c>
      <c r="L50" s="194">
        <v>1224563.2</v>
      </c>
      <c r="M50" s="194">
        <v>1233059.31</v>
      </c>
      <c r="N50" s="188">
        <v>1232300.3600000001</v>
      </c>
    </row>
    <row r="51" spans="1:15" ht="15" customHeight="1" x14ac:dyDescent="0.2"/>
    <row r="52" spans="1:15" ht="15" customHeight="1" x14ac:dyDescent="0.2"/>
    <row r="53" spans="1:15" s="59" customFormat="1" ht="21" customHeight="1" thickBot="1" x14ac:dyDescent="0.25">
      <c r="A53" s="7" t="s">
        <v>80</v>
      </c>
      <c r="B53" s="7"/>
      <c r="C53" s="7"/>
      <c r="D53" s="7"/>
      <c r="E53" s="7"/>
      <c r="F53" s="7"/>
      <c r="G53" s="5"/>
      <c r="H53" s="5"/>
      <c r="I53" s="5"/>
      <c r="J53" s="5"/>
      <c r="K53" s="5"/>
      <c r="L53" s="6"/>
      <c r="M53" s="6"/>
      <c r="N53" s="6"/>
    </row>
    <row r="54" spans="1:15" s="13" customFormat="1" ht="24" customHeight="1" thickBot="1" x14ac:dyDescent="0.25">
      <c r="A54" s="49" t="s">
        <v>0</v>
      </c>
      <c r="B54" s="50" t="s">
        <v>1</v>
      </c>
      <c r="C54" s="51" t="s">
        <v>17</v>
      </c>
      <c r="D54" s="51" t="s">
        <v>18</v>
      </c>
      <c r="E54" s="51" t="s">
        <v>19</v>
      </c>
      <c r="F54" s="51" t="s">
        <v>20</v>
      </c>
      <c r="G54" s="51" t="s">
        <v>21</v>
      </c>
      <c r="H54" s="51" t="s">
        <v>22</v>
      </c>
      <c r="I54" s="51" t="s">
        <v>23</v>
      </c>
      <c r="J54" s="51" t="s">
        <v>24</v>
      </c>
      <c r="K54" s="51" t="s">
        <v>25</v>
      </c>
      <c r="L54" s="51" t="s">
        <v>26</v>
      </c>
      <c r="M54" s="51" t="s">
        <v>27</v>
      </c>
      <c r="N54" s="52" t="s">
        <v>28</v>
      </c>
    </row>
    <row r="55" spans="1:15" s="17" customFormat="1" ht="21" customHeight="1" thickBot="1" x14ac:dyDescent="0.25">
      <c r="A55" s="14" t="s">
        <v>31</v>
      </c>
      <c r="B55" s="15" t="s">
        <v>5</v>
      </c>
      <c r="C55" s="135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2"/>
      <c r="O55" s="44"/>
    </row>
    <row r="56" spans="1:15" s="17" customFormat="1" ht="14.25" customHeight="1" thickBot="1" x14ac:dyDescent="0.25">
      <c r="A56" s="18" t="s">
        <v>32</v>
      </c>
      <c r="B56" s="78" t="s">
        <v>7</v>
      </c>
      <c r="C56" s="20"/>
      <c r="D56" s="20"/>
      <c r="E56" s="21"/>
      <c r="F56" s="21"/>
      <c r="G56" s="63"/>
      <c r="H56" s="21"/>
      <c r="I56" s="21"/>
      <c r="J56" s="21"/>
      <c r="K56" s="21"/>
      <c r="L56" s="21"/>
      <c r="M56" s="21"/>
      <c r="N56" s="22"/>
      <c r="O56" s="61"/>
    </row>
    <row r="57" spans="1:15" s="13" customFormat="1" ht="14.25" customHeight="1" x14ac:dyDescent="0.2">
      <c r="A57" s="80"/>
      <c r="B57" s="86" t="s">
        <v>61</v>
      </c>
      <c r="C57" s="155">
        <f>SUM(C58:C61)</f>
        <v>5821.8729999999996</v>
      </c>
      <c r="D57" s="155">
        <f t="shared" ref="D57:N57" si="44">SUM(D58:D61)</f>
        <v>6018.9529999999995</v>
      </c>
      <c r="E57" s="156">
        <f t="shared" si="44"/>
        <v>6027.6229999999996</v>
      </c>
      <c r="F57" s="156">
        <f t="shared" si="44"/>
        <v>5991.9529999999995</v>
      </c>
      <c r="G57" s="156">
        <f t="shared" si="44"/>
        <v>5969.723</v>
      </c>
      <c r="H57" s="156">
        <f t="shared" si="44"/>
        <v>5980.7530000000006</v>
      </c>
      <c r="I57" s="156">
        <f t="shared" si="44"/>
        <v>6236.4230000000007</v>
      </c>
      <c r="J57" s="156">
        <f t="shared" si="44"/>
        <v>6262.9830000000002</v>
      </c>
      <c r="K57" s="156">
        <f t="shared" si="44"/>
        <v>6211.7330000000002</v>
      </c>
      <c r="L57" s="156">
        <f t="shared" si="44"/>
        <v>6979.9535300365251</v>
      </c>
      <c r="M57" s="156">
        <f t="shared" si="44"/>
        <v>7032.8335300365243</v>
      </c>
      <c r="N57" s="156">
        <f t="shared" si="44"/>
        <v>6983.9735300365246</v>
      </c>
      <c r="O57" s="61"/>
    </row>
    <row r="58" spans="1:15" s="13" customFormat="1" ht="15" customHeight="1" x14ac:dyDescent="0.2">
      <c r="A58" s="29"/>
      <c r="B58" s="89" t="s">
        <v>113</v>
      </c>
      <c r="C58" s="101">
        <v>2190.75</v>
      </c>
      <c r="D58" s="101">
        <v>2387.83</v>
      </c>
      <c r="E58" s="102">
        <v>2396.5</v>
      </c>
      <c r="F58" s="102">
        <v>2360.83</v>
      </c>
      <c r="G58" s="157">
        <v>2338.6</v>
      </c>
      <c r="H58" s="101">
        <v>2349.63</v>
      </c>
      <c r="I58" s="101">
        <v>2605.3000000000002</v>
      </c>
      <c r="J58" s="101">
        <v>2631.86</v>
      </c>
      <c r="K58" s="101">
        <v>2580.61</v>
      </c>
      <c r="L58" s="101">
        <v>2625.93</v>
      </c>
      <c r="M58" s="101">
        <v>2678.81</v>
      </c>
      <c r="N58" s="158">
        <v>2629.95</v>
      </c>
      <c r="O58" s="61"/>
    </row>
    <row r="59" spans="1:15" s="13" customFormat="1" ht="15" customHeight="1" x14ac:dyDescent="0.2">
      <c r="A59" s="25"/>
      <c r="B59" s="90" t="s">
        <v>8</v>
      </c>
      <c r="C59" s="146">
        <v>3305.32</v>
      </c>
      <c r="D59" s="146">
        <v>3305.32</v>
      </c>
      <c r="E59" s="99">
        <v>3305.32</v>
      </c>
      <c r="F59" s="99">
        <v>3305.32</v>
      </c>
      <c r="G59" s="147">
        <v>3305.32</v>
      </c>
      <c r="H59" s="146">
        <v>3305.32</v>
      </c>
      <c r="I59" s="146">
        <v>3305.32</v>
      </c>
      <c r="J59" s="146">
        <v>3305.32</v>
      </c>
      <c r="K59" s="146">
        <v>3305.32</v>
      </c>
      <c r="L59" s="146">
        <v>3982.91</v>
      </c>
      <c r="M59" s="146">
        <v>3982.91</v>
      </c>
      <c r="N59" s="148">
        <v>3982.91</v>
      </c>
      <c r="O59" s="61"/>
    </row>
    <row r="60" spans="1:15" s="13" customFormat="1" ht="15" customHeight="1" x14ac:dyDescent="0.2">
      <c r="A60" s="29"/>
      <c r="B60" s="89" t="s">
        <v>9</v>
      </c>
      <c r="C60" s="114">
        <v>320.44</v>
      </c>
      <c r="D60" s="114">
        <v>320.44</v>
      </c>
      <c r="E60" s="115">
        <v>320.44</v>
      </c>
      <c r="F60" s="115">
        <v>320.44</v>
      </c>
      <c r="G60" s="116">
        <v>320.44</v>
      </c>
      <c r="H60" s="114">
        <v>320.44</v>
      </c>
      <c r="I60" s="114">
        <v>320.44</v>
      </c>
      <c r="J60" s="114">
        <v>320.44</v>
      </c>
      <c r="K60" s="114">
        <v>320.44</v>
      </c>
      <c r="L60" s="114">
        <v>364.99</v>
      </c>
      <c r="M60" s="114">
        <v>364.99</v>
      </c>
      <c r="N60" s="117">
        <v>364.99</v>
      </c>
      <c r="O60" s="61"/>
    </row>
    <row r="61" spans="1:15" s="13" customFormat="1" x14ac:dyDescent="0.2">
      <c r="A61" s="81"/>
      <c r="B61" s="91" t="s">
        <v>42</v>
      </c>
      <c r="C61" s="106">
        <v>5.3629999999999995</v>
      </c>
      <c r="D61" s="106">
        <v>5.3629999999999995</v>
      </c>
      <c r="E61" s="107">
        <v>5.3629999999999995</v>
      </c>
      <c r="F61" s="107">
        <v>5.3629999999999995</v>
      </c>
      <c r="G61" s="108">
        <v>5.3629999999999995</v>
      </c>
      <c r="H61" s="106">
        <v>5.3629999999999995</v>
      </c>
      <c r="I61" s="106">
        <v>5.3629999999999995</v>
      </c>
      <c r="J61" s="106">
        <v>5.3629999999999995</v>
      </c>
      <c r="K61" s="106">
        <v>5.3629999999999995</v>
      </c>
      <c r="L61" s="106">
        <v>6.1235300365250511</v>
      </c>
      <c r="M61" s="106">
        <v>6.1235300365250511</v>
      </c>
      <c r="N61" s="109">
        <v>6.1235300365250511</v>
      </c>
      <c r="O61" s="61"/>
    </row>
    <row r="62" spans="1:15" s="13" customFormat="1" ht="25.5" x14ac:dyDescent="0.2">
      <c r="A62" s="82"/>
      <c r="B62" s="87" t="s">
        <v>118</v>
      </c>
      <c r="C62" s="119">
        <f>SUM(C63:C64)</f>
        <v>1063691.4400000002</v>
      </c>
      <c r="D62" s="119">
        <f t="shared" ref="D62" si="45">SUM(D63:D64)</f>
        <v>1007002.78</v>
      </c>
      <c r="E62" s="120">
        <f t="shared" ref="E62" si="46">SUM(E63:E64)</f>
        <v>1062450.8899999999</v>
      </c>
      <c r="F62" s="120">
        <f t="shared" ref="F62" si="47">SUM(F63:F64)</f>
        <v>1056190.19</v>
      </c>
      <c r="G62" s="119">
        <f t="shared" ref="G62" si="48">SUM(G63:G64)</f>
        <v>1227142.22</v>
      </c>
      <c r="H62" s="119">
        <f t="shared" ref="H62" si="49">SUM(H63:H64)</f>
        <v>1197387.5999999999</v>
      </c>
      <c r="I62" s="119">
        <f t="shared" ref="I62" si="50">SUM(I63:I64)</f>
        <v>1200392.96</v>
      </c>
      <c r="J62" s="119">
        <f t="shared" ref="J62" si="51">SUM(J63:J64)</f>
        <v>1192228.79</v>
      </c>
      <c r="K62" s="119">
        <f t="shared" ref="K62" si="52">SUM(K63:K64)</f>
        <v>1192669.18</v>
      </c>
      <c r="L62" s="119">
        <f t="shared" ref="L62" si="53">SUM(L63:L64)</f>
        <v>1225813.8399999999</v>
      </c>
      <c r="M62" s="119">
        <f t="shared" ref="M62" si="54">SUM(M63:M64)</f>
        <v>1234126.6700000002</v>
      </c>
      <c r="N62" s="118">
        <f t="shared" ref="N62" si="55">SUM(N63:N64)</f>
        <v>1233361.28</v>
      </c>
      <c r="O62" s="61"/>
    </row>
    <row r="63" spans="1:15" s="13" customFormat="1" ht="25.5" x14ac:dyDescent="0.2">
      <c r="A63" s="178"/>
      <c r="B63" s="91" t="s">
        <v>116</v>
      </c>
      <c r="C63" s="146">
        <v>850.58</v>
      </c>
      <c r="D63" s="146">
        <v>1150.1400000000001</v>
      </c>
      <c r="E63" s="99">
        <v>1178.98</v>
      </c>
      <c r="F63" s="99">
        <v>1377.28</v>
      </c>
      <c r="G63" s="147">
        <v>1386.94</v>
      </c>
      <c r="H63" s="146">
        <v>1354.18</v>
      </c>
      <c r="I63" s="146">
        <v>1251.6600000000001</v>
      </c>
      <c r="J63" s="146">
        <v>1551.11</v>
      </c>
      <c r="K63" s="146">
        <v>1608.71</v>
      </c>
      <c r="L63" s="146">
        <v>1250.6400000000001</v>
      </c>
      <c r="M63" s="146">
        <v>1067.3599999999999</v>
      </c>
      <c r="N63" s="158">
        <v>1060.92</v>
      </c>
      <c r="O63" s="61"/>
    </row>
    <row r="64" spans="1:15" s="13" customFormat="1" ht="26.25" thickBot="1" x14ac:dyDescent="0.25">
      <c r="A64" s="178"/>
      <c r="B64" s="90" t="s">
        <v>117</v>
      </c>
      <c r="C64" s="101">
        <v>1062840.8600000001</v>
      </c>
      <c r="D64" s="101">
        <v>1005852.64</v>
      </c>
      <c r="E64" s="102">
        <v>1061271.9099999999</v>
      </c>
      <c r="F64" s="102">
        <v>1054812.9099999999</v>
      </c>
      <c r="G64" s="157">
        <v>1225755.28</v>
      </c>
      <c r="H64" s="101">
        <v>1196033.42</v>
      </c>
      <c r="I64" s="101">
        <v>1199141.3</v>
      </c>
      <c r="J64" s="101">
        <v>1190677.68</v>
      </c>
      <c r="K64" s="101">
        <v>1191060.47</v>
      </c>
      <c r="L64" s="101">
        <v>1224563.2</v>
      </c>
      <c r="M64" s="101">
        <v>1233059.31</v>
      </c>
      <c r="N64" s="148">
        <v>1232300.3600000001</v>
      </c>
    </row>
    <row r="65" spans="1:15" s="13" customFormat="1" ht="26.25" thickBot="1" x14ac:dyDescent="0.25">
      <c r="A65" s="36" t="s">
        <v>33</v>
      </c>
      <c r="B65" s="37" t="s">
        <v>11</v>
      </c>
      <c r="C65" s="20"/>
      <c r="D65" s="20"/>
      <c r="E65" s="21"/>
      <c r="F65" s="21"/>
      <c r="G65" s="66"/>
      <c r="H65" s="20"/>
      <c r="I65" s="20"/>
      <c r="J65" s="20"/>
      <c r="K65" s="20"/>
      <c r="L65" s="20"/>
      <c r="M65" s="20"/>
      <c r="N65" s="55"/>
    </row>
    <row r="66" spans="1:15" s="13" customFormat="1" ht="14.25" customHeight="1" x14ac:dyDescent="0.2">
      <c r="A66" s="85"/>
      <c r="B66" s="88" t="s">
        <v>61</v>
      </c>
      <c r="C66" s="159">
        <f>SUM(C67:C69)</f>
        <v>2516.5529999999999</v>
      </c>
      <c r="D66" s="159">
        <f t="shared" ref="D66:N66" si="56">SUM(D67:D69)</f>
        <v>2713.6329999999998</v>
      </c>
      <c r="E66" s="160">
        <f t="shared" si="56"/>
        <v>2722.3029999999999</v>
      </c>
      <c r="F66" s="160">
        <f t="shared" si="56"/>
        <v>2686.6329999999998</v>
      </c>
      <c r="G66" s="160">
        <f t="shared" si="56"/>
        <v>2664.4029999999998</v>
      </c>
      <c r="H66" s="160">
        <f t="shared" si="56"/>
        <v>2675.433</v>
      </c>
      <c r="I66" s="160">
        <f t="shared" si="56"/>
        <v>2931.1030000000001</v>
      </c>
      <c r="J66" s="160">
        <f t="shared" si="56"/>
        <v>2957.663</v>
      </c>
      <c r="K66" s="160">
        <f t="shared" si="56"/>
        <v>2906.413</v>
      </c>
      <c r="L66" s="160">
        <f t="shared" si="56"/>
        <v>2997.0435300365252</v>
      </c>
      <c r="M66" s="160">
        <f t="shared" si="56"/>
        <v>3049.9235300365253</v>
      </c>
      <c r="N66" s="161">
        <f t="shared" si="56"/>
        <v>3001.0635300365248</v>
      </c>
    </row>
    <row r="67" spans="1:15" s="13" customFormat="1" ht="15" customHeight="1" x14ac:dyDescent="0.2">
      <c r="A67" s="25"/>
      <c r="B67" s="89" t="s">
        <v>113</v>
      </c>
      <c r="C67" s="101">
        <f t="shared" ref="C67:N67" si="57">C58</f>
        <v>2190.75</v>
      </c>
      <c r="D67" s="101">
        <f t="shared" si="57"/>
        <v>2387.83</v>
      </c>
      <c r="E67" s="102">
        <f t="shared" si="57"/>
        <v>2396.5</v>
      </c>
      <c r="F67" s="102">
        <f t="shared" si="57"/>
        <v>2360.83</v>
      </c>
      <c r="G67" s="157">
        <f t="shared" si="57"/>
        <v>2338.6</v>
      </c>
      <c r="H67" s="101">
        <f t="shared" si="57"/>
        <v>2349.63</v>
      </c>
      <c r="I67" s="101">
        <f t="shared" si="57"/>
        <v>2605.3000000000002</v>
      </c>
      <c r="J67" s="101">
        <f t="shared" si="57"/>
        <v>2631.86</v>
      </c>
      <c r="K67" s="101">
        <f t="shared" si="57"/>
        <v>2580.61</v>
      </c>
      <c r="L67" s="101">
        <f t="shared" si="57"/>
        <v>2625.93</v>
      </c>
      <c r="M67" s="101">
        <f t="shared" si="57"/>
        <v>2678.81</v>
      </c>
      <c r="N67" s="158">
        <f t="shared" si="57"/>
        <v>2629.95</v>
      </c>
    </row>
    <row r="68" spans="1:15" s="13" customFormat="1" ht="15" customHeight="1" x14ac:dyDescent="0.2">
      <c r="A68" s="40"/>
      <c r="B68" s="90" t="s">
        <v>9</v>
      </c>
      <c r="C68" s="114">
        <f t="shared" ref="C68:N68" si="58">C60</f>
        <v>320.44</v>
      </c>
      <c r="D68" s="114">
        <f t="shared" si="58"/>
        <v>320.44</v>
      </c>
      <c r="E68" s="115">
        <f t="shared" si="58"/>
        <v>320.44</v>
      </c>
      <c r="F68" s="115">
        <f t="shared" si="58"/>
        <v>320.44</v>
      </c>
      <c r="G68" s="121">
        <f t="shared" si="58"/>
        <v>320.44</v>
      </c>
      <c r="H68" s="115">
        <f t="shared" si="58"/>
        <v>320.44</v>
      </c>
      <c r="I68" s="115">
        <f t="shared" si="58"/>
        <v>320.44</v>
      </c>
      <c r="J68" s="115">
        <f t="shared" si="58"/>
        <v>320.44</v>
      </c>
      <c r="K68" s="115">
        <f t="shared" si="58"/>
        <v>320.44</v>
      </c>
      <c r="L68" s="115">
        <f t="shared" si="58"/>
        <v>364.99</v>
      </c>
      <c r="M68" s="115">
        <f t="shared" si="58"/>
        <v>364.99</v>
      </c>
      <c r="N68" s="122">
        <f t="shared" si="58"/>
        <v>364.99</v>
      </c>
    </row>
    <row r="69" spans="1:15" s="13" customFormat="1" ht="15" customHeight="1" x14ac:dyDescent="0.2">
      <c r="A69" s="81"/>
      <c r="B69" s="91" t="s">
        <v>42</v>
      </c>
      <c r="C69" s="106">
        <f t="shared" ref="C69:N69" si="59">C61</f>
        <v>5.3629999999999995</v>
      </c>
      <c r="D69" s="106">
        <f t="shared" si="59"/>
        <v>5.3629999999999995</v>
      </c>
      <c r="E69" s="107">
        <f t="shared" si="59"/>
        <v>5.3629999999999995</v>
      </c>
      <c r="F69" s="107">
        <f t="shared" si="59"/>
        <v>5.3629999999999995</v>
      </c>
      <c r="G69" s="108">
        <f t="shared" si="59"/>
        <v>5.3629999999999995</v>
      </c>
      <c r="H69" s="106">
        <f t="shared" si="59"/>
        <v>5.3629999999999995</v>
      </c>
      <c r="I69" s="106">
        <f t="shared" si="59"/>
        <v>5.3629999999999995</v>
      </c>
      <c r="J69" s="106">
        <f t="shared" si="59"/>
        <v>5.3629999999999995</v>
      </c>
      <c r="K69" s="106">
        <f t="shared" si="59"/>
        <v>5.3629999999999995</v>
      </c>
      <c r="L69" s="106">
        <f t="shared" si="59"/>
        <v>6.1235300365250511</v>
      </c>
      <c r="M69" s="106">
        <f t="shared" si="59"/>
        <v>6.1235300365250511</v>
      </c>
      <c r="N69" s="109">
        <f t="shared" si="59"/>
        <v>6.1235300365250511</v>
      </c>
    </row>
    <row r="70" spans="1:15" s="13" customFormat="1" ht="25.5" x14ac:dyDescent="0.2">
      <c r="A70" s="81"/>
      <c r="B70" s="87" t="s">
        <v>118</v>
      </c>
      <c r="C70" s="119">
        <f>SUM(C71:C72)</f>
        <v>1063691.4400000002</v>
      </c>
      <c r="D70" s="119">
        <f t="shared" ref="D70" si="60">SUM(D71:D72)</f>
        <v>1007002.78</v>
      </c>
      <c r="E70" s="120">
        <f t="shared" ref="E70" si="61">SUM(E71:E72)</f>
        <v>1062450.8899999999</v>
      </c>
      <c r="F70" s="120">
        <f t="shared" ref="F70" si="62">SUM(F71:F72)</f>
        <v>1056190.19</v>
      </c>
      <c r="G70" s="119">
        <f t="shared" ref="G70" si="63">SUM(G71:G72)</f>
        <v>1227142.22</v>
      </c>
      <c r="H70" s="119">
        <f t="shared" ref="H70" si="64">SUM(H71:H72)</f>
        <v>1197387.5999999999</v>
      </c>
      <c r="I70" s="119">
        <f t="shared" ref="I70" si="65">SUM(I71:I72)</f>
        <v>1200392.96</v>
      </c>
      <c r="J70" s="119">
        <f t="shared" ref="J70" si="66">SUM(J71:J72)</f>
        <v>1192228.79</v>
      </c>
      <c r="K70" s="119">
        <f t="shared" ref="K70" si="67">SUM(K71:K72)</f>
        <v>1192669.18</v>
      </c>
      <c r="L70" s="119">
        <f t="shared" ref="L70" si="68">SUM(L71:L72)</f>
        <v>1225813.8399999999</v>
      </c>
      <c r="M70" s="119">
        <f t="shared" ref="M70" si="69">SUM(M71:M72)</f>
        <v>1234126.6700000002</v>
      </c>
      <c r="N70" s="127">
        <f t="shared" ref="N70" si="70">SUM(N71:N72)</f>
        <v>1233361.28</v>
      </c>
    </row>
    <row r="71" spans="1:15" s="13" customFormat="1" ht="25.5" x14ac:dyDescent="0.2">
      <c r="A71" s="81"/>
      <c r="B71" s="91" t="s">
        <v>116</v>
      </c>
      <c r="C71" s="146">
        <v>850.58</v>
      </c>
      <c r="D71" s="146">
        <v>1150.1400000000001</v>
      </c>
      <c r="E71" s="99">
        <v>1178.98</v>
      </c>
      <c r="F71" s="99">
        <v>1377.28</v>
      </c>
      <c r="G71" s="147">
        <v>1386.94</v>
      </c>
      <c r="H71" s="146">
        <v>1354.18</v>
      </c>
      <c r="I71" s="146">
        <v>1251.6600000000001</v>
      </c>
      <c r="J71" s="146">
        <v>1551.11</v>
      </c>
      <c r="K71" s="146">
        <v>1608.71</v>
      </c>
      <c r="L71" s="146">
        <v>1250.6400000000001</v>
      </c>
      <c r="M71" s="146">
        <v>1067.3599999999999</v>
      </c>
      <c r="N71" s="158">
        <v>1060.92</v>
      </c>
    </row>
    <row r="72" spans="1:15" s="13" customFormat="1" ht="26.25" thickBot="1" x14ac:dyDescent="0.25">
      <c r="A72" s="32"/>
      <c r="B72" s="186" t="s">
        <v>117</v>
      </c>
      <c r="C72" s="194">
        <v>1062840.8600000001</v>
      </c>
      <c r="D72" s="194">
        <v>1005852.64</v>
      </c>
      <c r="E72" s="173">
        <v>1061271.9099999999</v>
      </c>
      <c r="F72" s="173">
        <v>1054812.9099999999</v>
      </c>
      <c r="G72" s="195">
        <v>1225755.28</v>
      </c>
      <c r="H72" s="194">
        <v>1196033.42</v>
      </c>
      <c r="I72" s="194">
        <v>1199141.3</v>
      </c>
      <c r="J72" s="194">
        <v>1190677.68</v>
      </c>
      <c r="K72" s="194">
        <v>1191060.47</v>
      </c>
      <c r="L72" s="194">
        <v>1224563.2</v>
      </c>
      <c r="M72" s="194">
        <v>1233059.31</v>
      </c>
      <c r="N72" s="188">
        <v>1232300.3600000001</v>
      </c>
    </row>
    <row r="73" spans="1:15" s="13" customFormat="1" ht="15" customHeight="1" x14ac:dyDescent="0.2">
      <c r="A73" s="45"/>
      <c r="B73" s="46"/>
      <c r="C73" s="47"/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5" s="13" customFormat="1" ht="15" customHeight="1" x14ac:dyDescent="0.2">
      <c r="A74" s="45"/>
      <c r="B74" s="46"/>
      <c r="C74" s="47"/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5" s="59" customFormat="1" ht="21" customHeight="1" thickBot="1" x14ac:dyDescent="0.25">
      <c r="A75" s="7" t="s">
        <v>81</v>
      </c>
      <c r="B75" s="7"/>
      <c r="C75" s="7"/>
      <c r="D75" s="7"/>
      <c r="E75" s="7"/>
      <c r="F75" s="7"/>
      <c r="G75" s="5"/>
      <c r="H75" s="5"/>
      <c r="I75" s="5"/>
      <c r="J75" s="5"/>
      <c r="K75" s="5"/>
      <c r="L75" s="6"/>
      <c r="M75" s="6"/>
      <c r="N75" s="6"/>
    </row>
    <row r="76" spans="1:15" s="13" customFormat="1" ht="24" customHeight="1" thickBot="1" x14ac:dyDescent="0.25">
      <c r="A76" s="49" t="s">
        <v>0</v>
      </c>
      <c r="B76" s="50" t="s">
        <v>1</v>
      </c>
      <c r="C76" s="51" t="s">
        <v>17</v>
      </c>
      <c r="D76" s="51" t="s">
        <v>18</v>
      </c>
      <c r="E76" s="51" t="s">
        <v>19</v>
      </c>
      <c r="F76" s="51" t="s">
        <v>20</v>
      </c>
      <c r="G76" s="51" t="s">
        <v>21</v>
      </c>
      <c r="H76" s="51" t="s">
        <v>22</v>
      </c>
      <c r="I76" s="51" t="s">
        <v>23</v>
      </c>
      <c r="J76" s="51" t="s">
        <v>24</v>
      </c>
      <c r="K76" s="51" t="s">
        <v>25</v>
      </c>
      <c r="L76" s="51" t="s">
        <v>26</v>
      </c>
      <c r="M76" s="51" t="s">
        <v>27</v>
      </c>
      <c r="N76" s="52" t="s">
        <v>28</v>
      </c>
    </row>
    <row r="77" spans="1:15" s="17" customFormat="1" ht="21" customHeight="1" thickBot="1" x14ac:dyDescent="0.25">
      <c r="A77" s="14" t="s">
        <v>34</v>
      </c>
      <c r="B77" s="15" t="s">
        <v>5</v>
      </c>
      <c r="C77" s="135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2"/>
      <c r="O77" s="44"/>
    </row>
    <row r="78" spans="1:15" s="17" customFormat="1" ht="13.5" thickBot="1" x14ac:dyDescent="0.25">
      <c r="A78" s="18" t="s">
        <v>35</v>
      </c>
      <c r="B78" s="78" t="s">
        <v>7</v>
      </c>
      <c r="C78" s="20"/>
      <c r="D78" s="20"/>
      <c r="E78" s="21"/>
      <c r="F78" s="21"/>
      <c r="G78" s="63"/>
      <c r="H78" s="21"/>
      <c r="I78" s="21"/>
      <c r="J78" s="21"/>
      <c r="K78" s="21"/>
      <c r="L78" s="21"/>
      <c r="M78" s="21"/>
      <c r="N78" s="22"/>
      <c r="O78" s="61"/>
    </row>
    <row r="79" spans="1:15" s="13" customFormat="1" ht="14.25" customHeight="1" x14ac:dyDescent="0.2">
      <c r="A79" s="80"/>
      <c r="B79" s="86" t="s">
        <v>61</v>
      </c>
      <c r="C79" s="155">
        <f>SUM(C80:C83)</f>
        <v>6776.3729999999996</v>
      </c>
      <c r="D79" s="155">
        <f t="shared" ref="D79:N79" si="71">SUM(D80:D83)</f>
        <v>6973.4529999999995</v>
      </c>
      <c r="E79" s="156">
        <f t="shared" si="71"/>
        <v>6982.1229999999996</v>
      </c>
      <c r="F79" s="156">
        <f t="shared" si="71"/>
        <v>6946.4529999999995</v>
      </c>
      <c r="G79" s="156">
        <f t="shared" si="71"/>
        <v>6924.223</v>
      </c>
      <c r="H79" s="156">
        <f t="shared" si="71"/>
        <v>6935.2529999999997</v>
      </c>
      <c r="I79" s="156">
        <f t="shared" si="71"/>
        <v>7190.9229999999998</v>
      </c>
      <c r="J79" s="156">
        <f t="shared" si="71"/>
        <v>7217.4830000000002</v>
      </c>
      <c r="K79" s="156">
        <f t="shared" si="71"/>
        <v>7166.2330000000002</v>
      </c>
      <c r="L79" s="156">
        <f t="shared" si="71"/>
        <v>8202.5435300365243</v>
      </c>
      <c r="M79" s="156">
        <f t="shared" si="71"/>
        <v>8255.4235300365235</v>
      </c>
      <c r="N79" s="156">
        <f t="shared" si="71"/>
        <v>8206.5635300365248</v>
      </c>
      <c r="O79" s="61"/>
    </row>
    <row r="80" spans="1:15" s="13" customFormat="1" ht="15" customHeight="1" x14ac:dyDescent="0.2">
      <c r="A80" s="29"/>
      <c r="B80" s="89" t="s">
        <v>113</v>
      </c>
      <c r="C80" s="101">
        <v>2190.75</v>
      </c>
      <c r="D80" s="101">
        <v>2387.83</v>
      </c>
      <c r="E80" s="102">
        <v>2396.5</v>
      </c>
      <c r="F80" s="102">
        <v>2360.83</v>
      </c>
      <c r="G80" s="157">
        <v>2338.6</v>
      </c>
      <c r="H80" s="101">
        <v>2349.63</v>
      </c>
      <c r="I80" s="101">
        <v>2605.3000000000002</v>
      </c>
      <c r="J80" s="101">
        <v>2631.86</v>
      </c>
      <c r="K80" s="101">
        <v>2580.61</v>
      </c>
      <c r="L80" s="101">
        <v>2625.93</v>
      </c>
      <c r="M80" s="101">
        <v>2678.81</v>
      </c>
      <c r="N80" s="158">
        <v>2629.95</v>
      </c>
      <c r="O80" s="61"/>
    </row>
    <row r="81" spans="1:15" s="13" customFormat="1" ht="15" customHeight="1" x14ac:dyDescent="0.2">
      <c r="A81" s="25"/>
      <c r="B81" s="90" t="s">
        <v>8</v>
      </c>
      <c r="C81" s="146">
        <v>4259.82</v>
      </c>
      <c r="D81" s="146">
        <v>4259.82</v>
      </c>
      <c r="E81" s="99">
        <v>4259.82</v>
      </c>
      <c r="F81" s="99">
        <v>4259.82</v>
      </c>
      <c r="G81" s="147">
        <v>4259.82</v>
      </c>
      <c r="H81" s="146">
        <v>4259.82</v>
      </c>
      <c r="I81" s="146">
        <v>4259.82</v>
      </c>
      <c r="J81" s="146">
        <v>4259.82</v>
      </c>
      <c r="K81" s="146">
        <v>4259.82</v>
      </c>
      <c r="L81" s="146">
        <v>5205.5</v>
      </c>
      <c r="M81" s="146">
        <v>5205.5</v>
      </c>
      <c r="N81" s="148">
        <v>5205.5</v>
      </c>
      <c r="O81" s="61"/>
    </row>
    <row r="82" spans="1:15" s="13" customFormat="1" ht="15" customHeight="1" x14ac:dyDescent="0.2">
      <c r="A82" s="29"/>
      <c r="B82" s="89" t="s">
        <v>9</v>
      </c>
      <c r="C82" s="114">
        <v>320.44</v>
      </c>
      <c r="D82" s="114">
        <v>320.44</v>
      </c>
      <c r="E82" s="115">
        <v>320.44</v>
      </c>
      <c r="F82" s="115">
        <v>320.44</v>
      </c>
      <c r="G82" s="116">
        <v>320.44</v>
      </c>
      <c r="H82" s="114">
        <v>320.44</v>
      </c>
      <c r="I82" s="114">
        <v>320.44</v>
      </c>
      <c r="J82" s="114">
        <v>320.44</v>
      </c>
      <c r="K82" s="114">
        <v>320.44</v>
      </c>
      <c r="L82" s="114">
        <v>364.99</v>
      </c>
      <c r="M82" s="114">
        <v>364.99</v>
      </c>
      <c r="N82" s="117">
        <v>364.99</v>
      </c>
      <c r="O82" s="61"/>
    </row>
    <row r="83" spans="1:15" s="13" customFormat="1" x14ac:dyDescent="0.2">
      <c r="A83" s="81"/>
      <c r="B83" s="91" t="s">
        <v>42</v>
      </c>
      <c r="C83" s="106">
        <v>5.3629999999999995</v>
      </c>
      <c r="D83" s="106">
        <v>5.3629999999999995</v>
      </c>
      <c r="E83" s="107">
        <v>5.3629999999999995</v>
      </c>
      <c r="F83" s="107">
        <v>5.3629999999999995</v>
      </c>
      <c r="G83" s="108">
        <v>5.3629999999999995</v>
      </c>
      <c r="H83" s="106">
        <v>5.3629999999999995</v>
      </c>
      <c r="I83" s="106">
        <v>5.3629999999999995</v>
      </c>
      <c r="J83" s="106">
        <v>5.3629999999999995</v>
      </c>
      <c r="K83" s="106">
        <v>5.3629999999999995</v>
      </c>
      <c r="L83" s="106">
        <v>6.1235300365250511</v>
      </c>
      <c r="M83" s="106">
        <v>6.1235300365250511</v>
      </c>
      <c r="N83" s="109">
        <v>6.1235300365250511</v>
      </c>
      <c r="O83" s="61"/>
    </row>
    <row r="84" spans="1:15" s="13" customFormat="1" ht="25.5" x14ac:dyDescent="0.2">
      <c r="A84" s="82"/>
      <c r="B84" s="87" t="s">
        <v>118</v>
      </c>
      <c r="C84" s="119">
        <f>SUM(C85:C86)</f>
        <v>1063691.4400000002</v>
      </c>
      <c r="D84" s="119">
        <f t="shared" ref="D84" si="72">SUM(D85:D86)</f>
        <v>1007002.78</v>
      </c>
      <c r="E84" s="120">
        <f t="shared" ref="E84" si="73">SUM(E85:E86)</f>
        <v>1062450.8899999999</v>
      </c>
      <c r="F84" s="120">
        <f t="shared" ref="F84" si="74">SUM(F85:F86)</f>
        <v>1056190.19</v>
      </c>
      <c r="G84" s="119">
        <f t="shared" ref="G84" si="75">SUM(G85:G86)</f>
        <v>1227142.22</v>
      </c>
      <c r="H84" s="119">
        <f t="shared" ref="H84" si="76">SUM(H85:H86)</f>
        <v>1197387.5999999999</v>
      </c>
      <c r="I84" s="119">
        <f t="shared" ref="I84" si="77">SUM(I85:I86)</f>
        <v>1200392.96</v>
      </c>
      <c r="J84" s="119">
        <f t="shared" ref="J84" si="78">SUM(J85:J86)</f>
        <v>1192228.79</v>
      </c>
      <c r="K84" s="119">
        <f t="shared" ref="K84" si="79">SUM(K85:K86)</f>
        <v>1192669.18</v>
      </c>
      <c r="L84" s="119">
        <f t="shared" ref="L84" si="80">SUM(L85:L86)</f>
        <v>1225813.8399999999</v>
      </c>
      <c r="M84" s="119">
        <f t="shared" ref="M84" si="81">SUM(M85:M86)</f>
        <v>1234126.6700000002</v>
      </c>
      <c r="N84" s="118">
        <f t="shared" ref="N84" si="82">SUM(N85:N86)</f>
        <v>1233361.28</v>
      </c>
      <c r="O84" s="61"/>
    </row>
    <row r="85" spans="1:15" s="13" customFormat="1" ht="25.5" x14ac:dyDescent="0.2">
      <c r="A85" s="178"/>
      <c r="B85" s="91" t="s">
        <v>116</v>
      </c>
      <c r="C85" s="146">
        <v>850.58</v>
      </c>
      <c r="D85" s="146">
        <v>1150.1400000000001</v>
      </c>
      <c r="E85" s="99">
        <v>1178.98</v>
      </c>
      <c r="F85" s="99">
        <v>1377.28</v>
      </c>
      <c r="G85" s="147">
        <v>1386.94</v>
      </c>
      <c r="H85" s="146">
        <v>1354.18</v>
      </c>
      <c r="I85" s="146">
        <v>1251.6600000000001</v>
      </c>
      <c r="J85" s="146">
        <v>1551.11</v>
      </c>
      <c r="K85" s="146">
        <v>1608.71</v>
      </c>
      <c r="L85" s="146">
        <v>1250.6400000000001</v>
      </c>
      <c r="M85" s="146">
        <v>1067.3599999999999</v>
      </c>
      <c r="N85" s="158">
        <v>1060.92</v>
      </c>
      <c r="O85" s="61"/>
    </row>
    <row r="86" spans="1:15" s="13" customFormat="1" ht="26.25" thickBot="1" x14ac:dyDescent="0.25">
      <c r="A86" s="178"/>
      <c r="B86" s="90" t="s">
        <v>117</v>
      </c>
      <c r="C86" s="101">
        <v>1062840.8600000001</v>
      </c>
      <c r="D86" s="101">
        <v>1005852.64</v>
      </c>
      <c r="E86" s="102">
        <v>1061271.9099999999</v>
      </c>
      <c r="F86" s="102">
        <v>1054812.9099999999</v>
      </c>
      <c r="G86" s="157">
        <v>1225755.28</v>
      </c>
      <c r="H86" s="101">
        <v>1196033.42</v>
      </c>
      <c r="I86" s="101">
        <v>1199141.3</v>
      </c>
      <c r="J86" s="101">
        <v>1190677.68</v>
      </c>
      <c r="K86" s="101">
        <v>1191060.47</v>
      </c>
      <c r="L86" s="101">
        <v>1224563.2</v>
      </c>
      <c r="M86" s="101">
        <v>1233059.31</v>
      </c>
      <c r="N86" s="148">
        <v>1232300.3600000001</v>
      </c>
    </row>
    <row r="87" spans="1:15" s="13" customFormat="1" ht="26.25" thickBot="1" x14ac:dyDescent="0.25">
      <c r="A87" s="36" t="s">
        <v>36</v>
      </c>
      <c r="B87" s="37" t="s">
        <v>11</v>
      </c>
      <c r="C87" s="20"/>
      <c r="D87" s="20"/>
      <c r="E87" s="21"/>
      <c r="F87" s="21"/>
      <c r="G87" s="66"/>
      <c r="H87" s="20"/>
      <c r="I87" s="20"/>
      <c r="J87" s="20"/>
      <c r="K87" s="20"/>
      <c r="L87" s="20"/>
      <c r="M87" s="20"/>
      <c r="N87" s="55"/>
    </row>
    <row r="88" spans="1:15" s="13" customFormat="1" ht="14.25" customHeight="1" x14ac:dyDescent="0.2">
      <c r="A88" s="85"/>
      <c r="B88" s="88" t="s">
        <v>61</v>
      </c>
      <c r="C88" s="159">
        <f>SUM(C89:C91)</f>
        <v>2516.5529999999999</v>
      </c>
      <c r="D88" s="159">
        <f t="shared" ref="D88:N88" si="83">SUM(D89:D91)</f>
        <v>2713.6329999999998</v>
      </c>
      <c r="E88" s="160">
        <f t="shared" si="83"/>
        <v>2722.3029999999999</v>
      </c>
      <c r="F88" s="160">
        <f t="shared" si="83"/>
        <v>2686.6329999999998</v>
      </c>
      <c r="G88" s="160">
        <f t="shared" si="83"/>
        <v>2664.4029999999998</v>
      </c>
      <c r="H88" s="160">
        <f t="shared" si="83"/>
        <v>2675.433</v>
      </c>
      <c r="I88" s="160">
        <f t="shared" si="83"/>
        <v>2931.1030000000001</v>
      </c>
      <c r="J88" s="160">
        <f t="shared" si="83"/>
        <v>2957.663</v>
      </c>
      <c r="K88" s="160">
        <f t="shared" si="83"/>
        <v>2906.413</v>
      </c>
      <c r="L88" s="160">
        <f t="shared" si="83"/>
        <v>2997.0435300365252</v>
      </c>
      <c r="M88" s="160">
        <f t="shared" si="83"/>
        <v>3049.9235300365253</v>
      </c>
      <c r="N88" s="161">
        <f t="shared" si="83"/>
        <v>3001.0635300365248</v>
      </c>
    </row>
    <row r="89" spans="1:15" s="13" customFormat="1" ht="15" customHeight="1" x14ac:dyDescent="0.2">
      <c r="A89" s="25"/>
      <c r="B89" s="89" t="s">
        <v>113</v>
      </c>
      <c r="C89" s="101">
        <f t="shared" ref="C89:N89" si="84">C80</f>
        <v>2190.75</v>
      </c>
      <c r="D89" s="101">
        <f t="shared" si="84"/>
        <v>2387.83</v>
      </c>
      <c r="E89" s="102">
        <f t="shared" si="84"/>
        <v>2396.5</v>
      </c>
      <c r="F89" s="102">
        <f t="shared" si="84"/>
        <v>2360.83</v>
      </c>
      <c r="G89" s="157">
        <f t="shared" si="84"/>
        <v>2338.6</v>
      </c>
      <c r="H89" s="101">
        <f t="shared" si="84"/>
        <v>2349.63</v>
      </c>
      <c r="I89" s="101">
        <f t="shared" si="84"/>
        <v>2605.3000000000002</v>
      </c>
      <c r="J89" s="101">
        <f t="shared" si="84"/>
        <v>2631.86</v>
      </c>
      <c r="K89" s="101">
        <f t="shared" si="84"/>
        <v>2580.61</v>
      </c>
      <c r="L89" s="101">
        <f t="shared" si="84"/>
        <v>2625.93</v>
      </c>
      <c r="M89" s="101">
        <f t="shared" si="84"/>
        <v>2678.81</v>
      </c>
      <c r="N89" s="158">
        <f t="shared" si="84"/>
        <v>2629.95</v>
      </c>
    </row>
    <row r="90" spans="1:15" s="13" customFormat="1" ht="15" customHeight="1" x14ac:dyDescent="0.2">
      <c r="A90" s="40"/>
      <c r="B90" s="90" t="s">
        <v>9</v>
      </c>
      <c r="C90" s="114">
        <f t="shared" ref="C90:N90" si="85">C82</f>
        <v>320.44</v>
      </c>
      <c r="D90" s="114">
        <f t="shared" si="85"/>
        <v>320.44</v>
      </c>
      <c r="E90" s="115">
        <f t="shared" si="85"/>
        <v>320.44</v>
      </c>
      <c r="F90" s="115">
        <f t="shared" si="85"/>
        <v>320.44</v>
      </c>
      <c r="G90" s="121">
        <f t="shared" si="85"/>
        <v>320.44</v>
      </c>
      <c r="H90" s="115">
        <f t="shared" si="85"/>
        <v>320.44</v>
      </c>
      <c r="I90" s="115">
        <f t="shared" si="85"/>
        <v>320.44</v>
      </c>
      <c r="J90" s="115">
        <f t="shared" si="85"/>
        <v>320.44</v>
      </c>
      <c r="K90" s="115">
        <f t="shared" si="85"/>
        <v>320.44</v>
      </c>
      <c r="L90" s="115">
        <f t="shared" si="85"/>
        <v>364.99</v>
      </c>
      <c r="M90" s="115">
        <f t="shared" si="85"/>
        <v>364.99</v>
      </c>
      <c r="N90" s="122">
        <f t="shared" si="85"/>
        <v>364.99</v>
      </c>
    </row>
    <row r="91" spans="1:15" s="13" customFormat="1" ht="15" customHeight="1" x14ac:dyDescent="0.2">
      <c r="A91" s="81"/>
      <c r="B91" s="91" t="s">
        <v>42</v>
      </c>
      <c r="C91" s="106">
        <f t="shared" ref="C91:N91" si="86">C83</f>
        <v>5.3629999999999995</v>
      </c>
      <c r="D91" s="106">
        <f t="shared" si="86"/>
        <v>5.3629999999999995</v>
      </c>
      <c r="E91" s="107">
        <f t="shared" si="86"/>
        <v>5.3629999999999995</v>
      </c>
      <c r="F91" s="107">
        <f t="shared" si="86"/>
        <v>5.3629999999999995</v>
      </c>
      <c r="G91" s="108">
        <f t="shared" si="86"/>
        <v>5.3629999999999995</v>
      </c>
      <c r="H91" s="106">
        <f t="shared" si="86"/>
        <v>5.3629999999999995</v>
      </c>
      <c r="I91" s="106">
        <f t="shared" si="86"/>
        <v>5.3629999999999995</v>
      </c>
      <c r="J91" s="106">
        <f t="shared" si="86"/>
        <v>5.3629999999999995</v>
      </c>
      <c r="K91" s="106">
        <f t="shared" si="86"/>
        <v>5.3629999999999995</v>
      </c>
      <c r="L91" s="106">
        <f t="shared" si="86"/>
        <v>6.1235300365250511</v>
      </c>
      <c r="M91" s="106">
        <f t="shared" si="86"/>
        <v>6.1235300365250511</v>
      </c>
      <c r="N91" s="109">
        <f t="shared" si="86"/>
        <v>6.1235300365250511</v>
      </c>
    </row>
    <row r="92" spans="1:15" s="13" customFormat="1" ht="25.5" x14ac:dyDescent="0.2">
      <c r="A92" s="81"/>
      <c r="B92" s="87" t="s">
        <v>118</v>
      </c>
      <c r="C92" s="119">
        <f>SUM(C93:C94)</f>
        <v>1063691.4400000002</v>
      </c>
      <c r="D92" s="119">
        <f t="shared" ref="D92" si="87">SUM(D93:D94)</f>
        <v>1007002.78</v>
      </c>
      <c r="E92" s="120">
        <f t="shared" ref="E92" si="88">SUM(E93:E94)</f>
        <v>1062450.8899999999</v>
      </c>
      <c r="F92" s="120">
        <f t="shared" ref="F92" si="89">SUM(F93:F94)</f>
        <v>1056190.19</v>
      </c>
      <c r="G92" s="119">
        <f t="shared" ref="G92" si="90">SUM(G93:G94)</f>
        <v>1227142.22</v>
      </c>
      <c r="H92" s="119">
        <f t="shared" ref="H92" si="91">SUM(H93:H94)</f>
        <v>1197387.5999999999</v>
      </c>
      <c r="I92" s="119">
        <f t="shared" ref="I92" si="92">SUM(I93:I94)</f>
        <v>1200392.96</v>
      </c>
      <c r="J92" s="119">
        <f t="shared" ref="J92" si="93">SUM(J93:J94)</f>
        <v>1192228.79</v>
      </c>
      <c r="K92" s="119">
        <f t="shared" ref="K92" si="94">SUM(K93:K94)</f>
        <v>1192669.18</v>
      </c>
      <c r="L92" s="119">
        <f t="shared" ref="L92" si="95">SUM(L93:L94)</f>
        <v>1225813.8399999999</v>
      </c>
      <c r="M92" s="119">
        <f t="shared" ref="M92" si="96">SUM(M93:M94)</f>
        <v>1234126.6700000002</v>
      </c>
      <c r="N92" s="127">
        <f t="shared" ref="N92" si="97">SUM(N93:N94)</f>
        <v>1233361.28</v>
      </c>
    </row>
    <row r="93" spans="1:15" s="13" customFormat="1" ht="25.5" x14ac:dyDescent="0.2">
      <c r="A93" s="81"/>
      <c r="B93" s="91" t="s">
        <v>116</v>
      </c>
      <c r="C93" s="146">
        <v>850.58</v>
      </c>
      <c r="D93" s="146">
        <v>1150.1400000000001</v>
      </c>
      <c r="E93" s="99">
        <v>1178.98</v>
      </c>
      <c r="F93" s="99">
        <v>1377.28</v>
      </c>
      <c r="G93" s="147">
        <v>1386.94</v>
      </c>
      <c r="H93" s="146">
        <v>1354.18</v>
      </c>
      <c r="I93" s="146">
        <v>1251.6600000000001</v>
      </c>
      <c r="J93" s="146">
        <v>1551.11</v>
      </c>
      <c r="K93" s="146">
        <v>1608.71</v>
      </c>
      <c r="L93" s="146">
        <v>1250.6400000000001</v>
      </c>
      <c r="M93" s="146">
        <v>1067.3599999999999</v>
      </c>
      <c r="N93" s="158">
        <v>1060.92</v>
      </c>
    </row>
    <row r="94" spans="1:15" s="13" customFormat="1" ht="26.25" thickBot="1" x14ac:dyDescent="0.25">
      <c r="A94" s="32"/>
      <c r="B94" s="186" t="s">
        <v>117</v>
      </c>
      <c r="C94" s="194">
        <v>1062840.8600000001</v>
      </c>
      <c r="D94" s="194">
        <v>1005852.64</v>
      </c>
      <c r="E94" s="173">
        <v>1061271.9099999999</v>
      </c>
      <c r="F94" s="173">
        <v>1054812.9099999999</v>
      </c>
      <c r="G94" s="195">
        <v>1225755.28</v>
      </c>
      <c r="H94" s="194">
        <v>1196033.42</v>
      </c>
      <c r="I94" s="194">
        <v>1199141.3</v>
      </c>
      <c r="J94" s="194">
        <v>1190677.68</v>
      </c>
      <c r="K94" s="194">
        <v>1191060.47</v>
      </c>
      <c r="L94" s="194">
        <v>1224563.2</v>
      </c>
      <c r="M94" s="194">
        <v>1233059.31</v>
      </c>
      <c r="N94" s="188">
        <v>1232300.3600000001</v>
      </c>
    </row>
    <row r="95" spans="1:15" ht="15" customHeight="1" x14ac:dyDescent="0.2"/>
    <row r="96" spans="1:15" ht="15" customHeight="1" x14ac:dyDescent="0.2"/>
    <row r="97" spans="1:15" ht="93" customHeight="1" x14ac:dyDescent="0.2">
      <c r="A97" s="200" t="s">
        <v>114</v>
      </c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69"/>
    </row>
    <row r="98" spans="1:15" ht="30" customHeight="1" x14ac:dyDescent="0.2">
      <c r="A98" s="199" t="s">
        <v>115</v>
      </c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</row>
  </sheetData>
  <mergeCells count="11">
    <mergeCell ref="D33:N33"/>
    <mergeCell ref="D55:N55"/>
    <mergeCell ref="D77:N77"/>
    <mergeCell ref="A97:N97"/>
    <mergeCell ref="A98:N98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28673" r:id="rId4">
          <objectPr defaultSize="0" autoPict="0" r:id="rId5">
            <anchor moveWithCells="1" sizeWithCells="1">
              <from>
                <xdr:col>1</xdr:col>
                <xdr:colOff>0</xdr:colOff>
                <xdr:row>95</xdr:row>
                <xdr:rowOff>0</xdr:rowOff>
              </from>
              <to>
                <xdr:col>1</xdr:col>
                <xdr:colOff>142875</xdr:colOff>
                <xdr:row>95</xdr:row>
                <xdr:rowOff>0</xdr:rowOff>
              </to>
            </anchor>
          </objectPr>
        </oleObject>
      </mc:Choice>
      <mc:Fallback>
        <oleObject progId="Equation.3" shapeId="28673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>
    <tabColor rgb="FFFFFF00"/>
  </sheetPr>
  <dimension ref="A1:O102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37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5" s="58" customFormat="1" ht="34.5" customHeight="1" x14ac:dyDescent="0.25">
      <c r="A7" s="206" t="s">
        <v>63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137"/>
      <c r="C8" s="137"/>
      <c r="D8" s="137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78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135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3.5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4.25" customHeight="1" x14ac:dyDescent="0.2">
      <c r="A13" s="83"/>
      <c r="B13" s="86" t="s">
        <v>61</v>
      </c>
      <c r="C13" s="155">
        <f>SUM(C14:C17)</f>
        <v>2623.623</v>
      </c>
      <c r="D13" s="155">
        <f t="shared" ref="D13:N13" si="0">SUM(D14:D17)</f>
        <v>2820.703</v>
      </c>
      <c r="E13" s="156">
        <f t="shared" si="0"/>
        <v>2829.373</v>
      </c>
      <c r="F13" s="156">
        <f t="shared" si="0"/>
        <v>2793.703</v>
      </c>
      <c r="G13" s="156">
        <f t="shared" si="0"/>
        <v>2771.473</v>
      </c>
      <c r="H13" s="156">
        <f t="shared" si="0"/>
        <v>2782.5030000000002</v>
      </c>
      <c r="I13" s="156">
        <f t="shared" si="0"/>
        <v>3038.1730000000002</v>
      </c>
      <c r="J13" s="156">
        <f t="shared" si="0"/>
        <v>3064.7330000000002</v>
      </c>
      <c r="K13" s="156">
        <f t="shared" si="0"/>
        <v>3013.4830000000002</v>
      </c>
      <c r="L13" s="156">
        <f t="shared" si="0"/>
        <v>3120.3835300365254</v>
      </c>
      <c r="M13" s="156">
        <f t="shared" si="0"/>
        <v>3173.2635300365255</v>
      </c>
      <c r="N13" s="162">
        <f t="shared" si="0"/>
        <v>3124.4035300365249</v>
      </c>
      <c r="O13" s="61"/>
    </row>
    <row r="14" spans="1:15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64</v>
      </c>
      <c r="C15" s="114">
        <v>107.07</v>
      </c>
      <c r="D15" s="114">
        <v>107.07</v>
      </c>
      <c r="E15" s="115">
        <v>107.07</v>
      </c>
      <c r="F15" s="115">
        <v>107.07</v>
      </c>
      <c r="G15" s="116">
        <v>107.07</v>
      </c>
      <c r="H15" s="114">
        <v>107.07</v>
      </c>
      <c r="I15" s="114">
        <v>107.07</v>
      </c>
      <c r="J15" s="114">
        <v>107.07</v>
      </c>
      <c r="K15" s="114">
        <v>107.07</v>
      </c>
      <c r="L15" s="114">
        <v>123.34</v>
      </c>
      <c r="M15" s="114">
        <v>123.34</v>
      </c>
      <c r="N15" s="117">
        <v>123.34</v>
      </c>
      <c r="O15" s="61"/>
    </row>
    <row r="16" spans="1:15" s="13" customFormat="1" ht="15" customHeight="1" x14ac:dyDescent="0.2">
      <c r="A16" s="29"/>
      <c r="B16" s="89" t="s">
        <v>9</v>
      </c>
      <c r="C16" s="114">
        <v>320.44</v>
      </c>
      <c r="D16" s="114">
        <v>320.44</v>
      </c>
      <c r="E16" s="115">
        <v>320.44</v>
      </c>
      <c r="F16" s="115">
        <v>320.44</v>
      </c>
      <c r="G16" s="116">
        <v>320.44</v>
      </c>
      <c r="H16" s="114">
        <v>320.44</v>
      </c>
      <c r="I16" s="114">
        <v>320.44</v>
      </c>
      <c r="J16" s="114">
        <v>320.44</v>
      </c>
      <c r="K16" s="114">
        <v>320.44</v>
      </c>
      <c r="L16" s="114">
        <v>364.99</v>
      </c>
      <c r="M16" s="114">
        <v>364.99</v>
      </c>
      <c r="N16" s="117">
        <v>364.99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82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9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18">
        <f t="shared" si="1"/>
        <v>1233361.28</v>
      </c>
      <c r="O18" s="61"/>
    </row>
    <row r="19" spans="1:15" s="13" customFormat="1" ht="25.5" x14ac:dyDescent="0.2">
      <c r="A19" s="178"/>
      <c r="B19" s="91" t="s">
        <v>116</v>
      </c>
      <c r="C19" s="146">
        <v>850.58</v>
      </c>
      <c r="D19" s="146">
        <v>1150.1400000000001</v>
      </c>
      <c r="E19" s="99">
        <v>1178.98</v>
      </c>
      <c r="F19" s="99">
        <v>1377.28</v>
      </c>
      <c r="G19" s="147">
        <v>1386.94</v>
      </c>
      <c r="H19" s="146">
        <v>1354.18</v>
      </c>
      <c r="I19" s="146">
        <v>1251.6600000000001</v>
      </c>
      <c r="J19" s="146">
        <v>1551.11</v>
      </c>
      <c r="K19" s="146">
        <v>1608.71</v>
      </c>
      <c r="L19" s="146">
        <v>1250.6400000000001</v>
      </c>
      <c r="M19" s="146">
        <v>1067.3599999999999</v>
      </c>
      <c r="N19" s="158">
        <v>1060.92</v>
      </c>
      <c r="O19" s="61"/>
    </row>
    <row r="20" spans="1:15" s="13" customFormat="1" ht="25.5" x14ac:dyDescent="0.2">
      <c r="A20" s="178"/>
      <c r="B20" s="90" t="s">
        <v>117</v>
      </c>
      <c r="C20" s="196">
        <v>1062840.8600000001</v>
      </c>
      <c r="D20" s="196">
        <v>1005852.64</v>
      </c>
      <c r="E20" s="103">
        <v>1061271.9099999999</v>
      </c>
      <c r="F20" s="103">
        <v>1054812.9099999999</v>
      </c>
      <c r="G20" s="197">
        <v>1225755.28</v>
      </c>
      <c r="H20" s="196">
        <v>1196033.42</v>
      </c>
      <c r="I20" s="196">
        <v>1199141.3</v>
      </c>
      <c r="J20" s="196">
        <v>1190677.68</v>
      </c>
      <c r="K20" s="196">
        <v>1191060.47</v>
      </c>
      <c r="L20" s="196">
        <v>1224563.2</v>
      </c>
      <c r="M20" s="196">
        <v>1233059.31</v>
      </c>
      <c r="N20" s="148">
        <v>1232300.3600000001</v>
      </c>
      <c r="O20" s="61"/>
    </row>
    <row r="21" spans="1:15" s="13" customFormat="1" ht="26.25" thickBot="1" x14ac:dyDescent="0.25">
      <c r="A21" s="32"/>
      <c r="B21" s="87" t="s">
        <v>65</v>
      </c>
      <c r="C21" s="128">
        <v>1067251.07</v>
      </c>
      <c r="D21" s="129">
        <v>1067251.07</v>
      </c>
      <c r="E21" s="130">
        <v>1067251.07</v>
      </c>
      <c r="F21" s="130">
        <v>1067251.07</v>
      </c>
      <c r="G21" s="131">
        <v>1067251.07</v>
      </c>
      <c r="H21" s="128">
        <v>1067251.07</v>
      </c>
      <c r="I21" s="129">
        <v>1067251.07</v>
      </c>
      <c r="J21" s="128">
        <v>1067251.07</v>
      </c>
      <c r="K21" s="129">
        <v>1067251.07</v>
      </c>
      <c r="L21" s="128">
        <v>1241212.99</v>
      </c>
      <c r="M21" s="129">
        <v>1241212.99</v>
      </c>
      <c r="N21" s="132">
        <v>1241212.99</v>
      </c>
      <c r="O21" s="61"/>
    </row>
    <row r="22" spans="1:15" s="13" customFormat="1" ht="26.25" thickBot="1" x14ac:dyDescent="0.25">
      <c r="A22" s="36" t="s">
        <v>10</v>
      </c>
      <c r="B22" s="37" t="s">
        <v>11</v>
      </c>
      <c r="C22" s="20"/>
      <c r="D22" s="20"/>
      <c r="E22" s="21"/>
      <c r="F22" s="21"/>
      <c r="G22" s="66"/>
      <c r="H22" s="20"/>
      <c r="I22" s="20"/>
      <c r="J22" s="20"/>
      <c r="K22" s="20"/>
      <c r="L22" s="20"/>
      <c r="M22" s="20"/>
      <c r="N22" s="55"/>
      <c r="O22" s="61"/>
    </row>
    <row r="23" spans="1:15" s="13" customFormat="1" ht="14.25" customHeight="1" x14ac:dyDescent="0.2">
      <c r="A23" s="85"/>
      <c r="B23" s="88" t="s">
        <v>61</v>
      </c>
      <c r="C23" s="159">
        <f>SUM(C24:C26)</f>
        <v>2516.5529999999999</v>
      </c>
      <c r="D23" s="159">
        <f t="shared" ref="D23:N23" si="2">SUM(D24:D26)</f>
        <v>2713.6329999999998</v>
      </c>
      <c r="E23" s="160">
        <f t="shared" si="2"/>
        <v>2722.3029999999999</v>
      </c>
      <c r="F23" s="160">
        <f t="shared" si="2"/>
        <v>2686.6329999999998</v>
      </c>
      <c r="G23" s="160">
        <f t="shared" si="2"/>
        <v>2664.4029999999998</v>
      </c>
      <c r="H23" s="160">
        <f t="shared" si="2"/>
        <v>2675.433</v>
      </c>
      <c r="I23" s="160">
        <f t="shared" si="2"/>
        <v>2931.1030000000001</v>
      </c>
      <c r="J23" s="160">
        <f t="shared" si="2"/>
        <v>2957.663</v>
      </c>
      <c r="K23" s="160">
        <f t="shared" si="2"/>
        <v>2906.413</v>
      </c>
      <c r="L23" s="160">
        <f t="shared" si="2"/>
        <v>2997.0435300365252</v>
      </c>
      <c r="M23" s="160">
        <f t="shared" si="2"/>
        <v>3049.9235300365253</v>
      </c>
      <c r="N23" s="161">
        <f t="shared" si="2"/>
        <v>3001.0635300365248</v>
      </c>
      <c r="O23" s="61"/>
    </row>
    <row r="24" spans="1:15" s="13" customFormat="1" x14ac:dyDescent="0.2">
      <c r="A24" s="25"/>
      <c r="B24" s="89" t="s">
        <v>113</v>
      </c>
      <c r="C24" s="101">
        <f t="shared" ref="C24:N24" si="3">C14</f>
        <v>2190.75</v>
      </c>
      <c r="D24" s="101">
        <f t="shared" si="3"/>
        <v>2387.83</v>
      </c>
      <c r="E24" s="102">
        <f t="shared" si="3"/>
        <v>2396.5</v>
      </c>
      <c r="F24" s="102">
        <f t="shared" si="3"/>
        <v>2360.83</v>
      </c>
      <c r="G24" s="157">
        <f t="shared" si="3"/>
        <v>2338.6</v>
      </c>
      <c r="H24" s="101">
        <f t="shared" si="3"/>
        <v>2349.63</v>
      </c>
      <c r="I24" s="101">
        <f t="shared" si="3"/>
        <v>2605.3000000000002</v>
      </c>
      <c r="J24" s="101">
        <f t="shared" si="3"/>
        <v>2631.86</v>
      </c>
      <c r="K24" s="101">
        <f t="shared" si="3"/>
        <v>2580.61</v>
      </c>
      <c r="L24" s="101">
        <f t="shared" si="3"/>
        <v>2625.93</v>
      </c>
      <c r="M24" s="101">
        <f t="shared" si="3"/>
        <v>2678.81</v>
      </c>
      <c r="N24" s="158">
        <f t="shared" si="3"/>
        <v>2629.95</v>
      </c>
    </row>
    <row r="25" spans="1:15" s="13" customFormat="1" x14ac:dyDescent="0.2">
      <c r="A25" s="40"/>
      <c r="B25" s="90" t="s">
        <v>9</v>
      </c>
      <c r="C25" s="114">
        <f t="shared" ref="C25:N25" si="4">C16</f>
        <v>320.44</v>
      </c>
      <c r="D25" s="114">
        <f t="shared" si="4"/>
        <v>320.44</v>
      </c>
      <c r="E25" s="115">
        <f t="shared" si="4"/>
        <v>320.44</v>
      </c>
      <c r="F25" s="115">
        <f t="shared" si="4"/>
        <v>320.44</v>
      </c>
      <c r="G25" s="121">
        <f t="shared" si="4"/>
        <v>320.44</v>
      </c>
      <c r="H25" s="115">
        <f t="shared" si="4"/>
        <v>320.44</v>
      </c>
      <c r="I25" s="115">
        <f t="shared" si="4"/>
        <v>320.44</v>
      </c>
      <c r="J25" s="115">
        <f t="shared" si="4"/>
        <v>320.44</v>
      </c>
      <c r="K25" s="115">
        <f t="shared" si="4"/>
        <v>320.44</v>
      </c>
      <c r="L25" s="115">
        <f t="shared" si="4"/>
        <v>364.99</v>
      </c>
      <c r="M25" s="115">
        <f t="shared" si="4"/>
        <v>364.99</v>
      </c>
      <c r="N25" s="122">
        <f t="shared" si="4"/>
        <v>364.99</v>
      </c>
    </row>
    <row r="26" spans="1:15" s="13" customFormat="1" x14ac:dyDescent="0.2">
      <c r="A26" s="81"/>
      <c r="B26" s="91" t="s">
        <v>42</v>
      </c>
      <c r="C26" s="106">
        <f t="shared" ref="C26:N26" si="5">C17</f>
        <v>5.3629999999999995</v>
      </c>
      <c r="D26" s="106">
        <f t="shared" si="5"/>
        <v>5.3629999999999995</v>
      </c>
      <c r="E26" s="107">
        <f t="shared" si="5"/>
        <v>5.3629999999999995</v>
      </c>
      <c r="F26" s="107">
        <f t="shared" si="5"/>
        <v>5.3629999999999995</v>
      </c>
      <c r="G26" s="108">
        <f t="shared" si="5"/>
        <v>5.3629999999999995</v>
      </c>
      <c r="H26" s="106">
        <f t="shared" si="5"/>
        <v>5.3629999999999995</v>
      </c>
      <c r="I26" s="106">
        <f t="shared" si="5"/>
        <v>5.3629999999999995</v>
      </c>
      <c r="J26" s="106">
        <f t="shared" si="5"/>
        <v>5.3629999999999995</v>
      </c>
      <c r="K26" s="106">
        <f t="shared" si="5"/>
        <v>5.3629999999999995</v>
      </c>
      <c r="L26" s="106">
        <f t="shared" si="5"/>
        <v>6.1235300365250511</v>
      </c>
      <c r="M26" s="106">
        <f t="shared" si="5"/>
        <v>6.1235300365250511</v>
      </c>
      <c r="N26" s="109">
        <f t="shared" si="5"/>
        <v>6.1235300365250511</v>
      </c>
    </row>
    <row r="27" spans="1:15" s="13" customFormat="1" ht="25.5" x14ac:dyDescent="0.2">
      <c r="A27" s="81"/>
      <c r="B27" s="87" t="s">
        <v>118</v>
      </c>
      <c r="C27" s="119">
        <f>SUM(C28:C29)</f>
        <v>1063691.4400000002</v>
      </c>
      <c r="D27" s="119">
        <f t="shared" ref="D27:N27" si="6">SUM(D28:D29)</f>
        <v>1007002.78</v>
      </c>
      <c r="E27" s="120">
        <f t="shared" si="6"/>
        <v>1062450.8899999999</v>
      </c>
      <c r="F27" s="120">
        <f t="shared" si="6"/>
        <v>1056190.19</v>
      </c>
      <c r="G27" s="119">
        <f t="shared" si="6"/>
        <v>1227142.22</v>
      </c>
      <c r="H27" s="119">
        <f t="shared" si="6"/>
        <v>1197387.5999999999</v>
      </c>
      <c r="I27" s="119">
        <f t="shared" si="6"/>
        <v>1200392.96</v>
      </c>
      <c r="J27" s="119">
        <f t="shared" si="6"/>
        <v>1192228.79</v>
      </c>
      <c r="K27" s="119">
        <f t="shared" si="6"/>
        <v>1192669.18</v>
      </c>
      <c r="L27" s="119">
        <f t="shared" si="6"/>
        <v>1225813.8399999999</v>
      </c>
      <c r="M27" s="119">
        <f t="shared" si="6"/>
        <v>1234126.6700000002</v>
      </c>
      <c r="N27" s="127">
        <f t="shared" si="6"/>
        <v>1233361.28</v>
      </c>
    </row>
    <row r="28" spans="1:15" s="13" customFormat="1" ht="25.5" x14ac:dyDescent="0.2">
      <c r="A28" s="81"/>
      <c r="B28" s="91" t="s">
        <v>116</v>
      </c>
      <c r="C28" s="146">
        <v>850.58</v>
      </c>
      <c r="D28" s="146">
        <v>1150.1400000000001</v>
      </c>
      <c r="E28" s="99">
        <v>1178.98</v>
      </c>
      <c r="F28" s="99">
        <v>1377.28</v>
      </c>
      <c r="G28" s="147">
        <v>1386.94</v>
      </c>
      <c r="H28" s="146">
        <v>1354.18</v>
      </c>
      <c r="I28" s="146">
        <v>1251.6600000000001</v>
      </c>
      <c r="J28" s="146">
        <v>1551.11</v>
      </c>
      <c r="K28" s="146">
        <v>1608.71</v>
      </c>
      <c r="L28" s="146">
        <v>1250.6400000000001</v>
      </c>
      <c r="M28" s="146">
        <v>1067.3599999999999</v>
      </c>
      <c r="N28" s="158">
        <v>1060.92</v>
      </c>
    </row>
    <row r="29" spans="1:15" s="13" customFormat="1" ht="26.25" thickBot="1" x14ac:dyDescent="0.25">
      <c r="A29" s="32"/>
      <c r="B29" s="186" t="s">
        <v>117</v>
      </c>
      <c r="C29" s="194">
        <v>1062840.8600000001</v>
      </c>
      <c r="D29" s="194">
        <v>1005852.64</v>
      </c>
      <c r="E29" s="173">
        <v>1061271.9099999999</v>
      </c>
      <c r="F29" s="173">
        <v>1054812.9099999999</v>
      </c>
      <c r="G29" s="195">
        <v>1225755.28</v>
      </c>
      <c r="H29" s="194">
        <v>1196033.42</v>
      </c>
      <c r="I29" s="194">
        <v>1199141.3</v>
      </c>
      <c r="J29" s="194">
        <v>1190677.68</v>
      </c>
      <c r="K29" s="194">
        <v>1191060.47</v>
      </c>
      <c r="L29" s="194">
        <v>1224563.2</v>
      </c>
      <c r="M29" s="194">
        <v>1233059.31</v>
      </c>
      <c r="N29" s="188">
        <v>1232300.3600000001</v>
      </c>
    </row>
    <row r="30" spans="1:15" ht="15" customHeight="1" x14ac:dyDescent="0.2"/>
    <row r="31" spans="1:15" ht="15" customHeight="1" x14ac:dyDescent="0.2"/>
    <row r="32" spans="1:15" s="59" customFormat="1" ht="21" customHeight="1" thickBot="1" x14ac:dyDescent="0.25">
      <c r="A32" s="7" t="s">
        <v>75</v>
      </c>
      <c r="B32" s="7"/>
      <c r="C32" s="7"/>
      <c r="D32" s="7"/>
      <c r="E32" s="7"/>
      <c r="F32" s="7"/>
      <c r="G32" s="5"/>
      <c r="H32" s="5"/>
      <c r="I32" s="5"/>
      <c r="J32" s="5"/>
      <c r="K32" s="5"/>
      <c r="L32" s="6"/>
      <c r="M32" s="6"/>
      <c r="N32" s="6"/>
    </row>
    <row r="33" spans="1:15" s="13" customFormat="1" ht="24" customHeight="1" thickBot="1" x14ac:dyDescent="0.25">
      <c r="A33" s="49" t="s">
        <v>0</v>
      </c>
      <c r="B33" s="50" t="s">
        <v>1</v>
      </c>
      <c r="C33" s="51" t="s">
        <v>17</v>
      </c>
      <c r="D33" s="51" t="s">
        <v>18</v>
      </c>
      <c r="E33" s="51" t="s">
        <v>19</v>
      </c>
      <c r="F33" s="51" t="s">
        <v>20</v>
      </c>
      <c r="G33" s="51" t="s">
        <v>21</v>
      </c>
      <c r="H33" s="51" t="s">
        <v>22</v>
      </c>
      <c r="I33" s="51" t="s">
        <v>23</v>
      </c>
      <c r="J33" s="51" t="s">
        <v>24</v>
      </c>
      <c r="K33" s="51" t="s">
        <v>25</v>
      </c>
      <c r="L33" s="51" t="s">
        <v>26</v>
      </c>
      <c r="M33" s="51" t="s">
        <v>27</v>
      </c>
      <c r="N33" s="52" t="s">
        <v>28</v>
      </c>
    </row>
    <row r="34" spans="1:15" s="17" customFormat="1" ht="21" customHeight="1" thickBot="1" x14ac:dyDescent="0.25">
      <c r="A34" s="14" t="s">
        <v>14</v>
      </c>
      <c r="B34" s="15" t="s">
        <v>5</v>
      </c>
      <c r="C34" s="135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2"/>
      <c r="O34" s="44"/>
    </row>
    <row r="35" spans="1:15" s="17" customFormat="1" ht="13.5" thickBot="1" x14ac:dyDescent="0.25">
      <c r="A35" s="18" t="s">
        <v>15</v>
      </c>
      <c r="B35" s="78" t="s">
        <v>7</v>
      </c>
      <c r="C35" s="20"/>
      <c r="D35" s="20"/>
      <c r="E35" s="21"/>
      <c r="F35" s="21"/>
      <c r="G35" s="63"/>
      <c r="H35" s="21"/>
      <c r="I35" s="21"/>
      <c r="J35" s="21"/>
      <c r="K35" s="21"/>
      <c r="L35" s="21"/>
      <c r="M35" s="21"/>
      <c r="N35" s="22"/>
      <c r="O35" s="61"/>
    </row>
    <row r="36" spans="1:15" s="13" customFormat="1" ht="14.25" customHeight="1" x14ac:dyDescent="0.2">
      <c r="A36" s="80"/>
      <c r="B36" s="86" t="s">
        <v>61</v>
      </c>
      <c r="C36" s="155">
        <f>SUM(C37:C40)</f>
        <v>2757.5229999999997</v>
      </c>
      <c r="D36" s="155">
        <f t="shared" ref="D36:N36" si="7">SUM(D37:D40)</f>
        <v>2954.6029999999996</v>
      </c>
      <c r="E36" s="156">
        <f t="shared" si="7"/>
        <v>2963.2729999999997</v>
      </c>
      <c r="F36" s="156">
        <f t="shared" si="7"/>
        <v>2927.6029999999996</v>
      </c>
      <c r="G36" s="156">
        <f t="shared" si="7"/>
        <v>2905.3729999999996</v>
      </c>
      <c r="H36" s="156">
        <f t="shared" si="7"/>
        <v>2916.4029999999998</v>
      </c>
      <c r="I36" s="156">
        <f t="shared" si="7"/>
        <v>3172.0729999999999</v>
      </c>
      <c r="J36" s="156">
        <f t="shared" si="7"/>
        <v>3198.6329999999998</v>
      </c>
      <c r="K36" s="156">
        <f t="shared" si="7"/>
        <v>3147.3829999999998</v>
      </c>
      <c r="L36" s="156">
        <f t="shared" si="7"/>
        <v>3274.6435300365247</v>
      </c>
      <c r="M36" s="156">
        <f t="shared" si="7"/>
        <v>3327.5235300365248</v>
      </c>
      <c r="N36" s="156">
        <f t="shared" si="7"/>
        <v>3278.6635300365251</v>
      </c>
      <c r="O36" s="61"/>
    </row>
    <row r="37" spans="1:15" s="13" customFormat="1" ht="15" customHeight="1" x14ac:dyDescent="0.2">
      <c r="A37" s="29"/>
      <c r="B37" s="89" t="s">
        <v>113</v>
      </c>
      <c r="C37" s="101">
        <v>2190.75</v>
      </c>
      <c r="D37" s="101">
        <v>2387.83</v>
      </c>
      <c r="E37" s="102">
        <v>2396.5</v>
      </c>
      <c r="F37" s="102">
        <v>2360.83</v>
      </c>
      <c r="G37" s="157">
        <v>2338.6</v>
      </c>
      <c r="H37" s="101">
        <v>2349.63</v>
      </c>
      <c r="I37" s="101">
        <v>2605.3000000000002</v>
      </c>
      <c r="J37" s="101">
        <v>2631.86</v>
      </c>
      <c r="K37" s="101">
        <v>2580.61</v>
      </c>
      <c r="L37" s="101">
        <v>2625.93</v>
      </c>
      <c r="M37" s="101">
        <v>2678.81</v>
      </c>
      <c r="N37" s="158">
        <v>2629.95</v>
      </c>
      <c r="O37" s="61"/>
    </row>
    <row r="38" spans="1:15" s="13" customFormat="1" ht="15" customHeight="1" x14ac:dyDescent="0.2">
      <c r="A38" s="25"/>
      <c r="B38" s="90" t="s">
        <v>64</v>
      </c>
      <c r="C38" s="114">
        <v>240.97</v>
      </c>
      <c r="D38" s="114">
        <v>240.97</v>
      </c>
      <c r="E38" s="115">
        <v>240.97</v>
      </c>
      <c r="F38" s="115">
        <v>240.97</v>
      </c>
      <c r="G38" s="116">
        <v>240.97</v>
      </c>
      <c r="H38" s="114">
        <v>240.97</v>
      </c>
      <c r="I38" s="114">
        <v>240.97</v>
      </c>
      <c r="J38" s="114">
        <v>240.97</v>
      </c>
      <c r="K38" s="114">
        <v>240.97</v>
      </c>
      <c r="L38" s="114">
        <v>277.60000000000002</v>
      </c>
      <c r="M38" s="114">
        <v>277.60000000000002</v>
      </c>
      <c r="N38" s="117">
        <v>277.60000000000002</v>
      </c>
      <c r="O38" s="61"/>
    </row>
    <row r="39" spans="1:15" s="13" customFormat="1" ht="15" customHeight="1" x14ac:dyDescent="0.2">
      <c r="A39" s="29"/>
      <c r="B39" s="89" t="s">
        <v>9</v>
      </c>
      <c r="C39" s="114">
        <v>320.44</v>
      </c>
      <c r="D39" s="114">
        <v>320.44</v>
      </c>
      <c r="E39" s="115">
        <v>320.44</v>
      </c>
      <c r="F39" s="115">
        <v>320.44</v>
      </c>
      <c r="G39" s="116">
        <v>320.44</v>
      </c>
      <c r="H39" s="114">
        <v>320.44</v>
      </c>
      <c r="I39" s="114">
        <v>320.44</v>
      </c>
      <c r="J39" s="114">
        <v>320.44</v>
      </c>
      <c r="K39" s="114">
        <v>320.44</v>
      </c>
      <c r="L39" s="114">
        <v>364.99</v>
      </c>
      <c r="M39" s="114">
        <v>364.99</v>
      </c>
      <c r="N39" s="117">
        <v>364.99</v>
      </c>
      <c r="O39" s="61"/>
    </row>
    <row r="40" spans="1:15" s="13" customFormat="1" x14ac:dyDescent="0.2">
      <c r="A40" s="81"/>
      <c r="B40" s="91" t="s">
        <v>42</v>
      </c>
      <c r="C40" s="106">
        <v>5.3629999999999995</v>
      </c>
      <c r="D40" s="106">
        <v>5.3629999999999995</v>
      </c>
      <c r="E40" s="107">
        <v>5.3629999999999995</v>
      </c>
      <c r="F40" s="107">
        <v>5.3629999999999995</v>
      </c>
      <c r="G40" s="108">
        <v>5.3629999999999995</v>
      </c>
      <c r="H40" s="106">
        <v>5.3629999999999995</v>
      </c>
      <c r="I40" s="106">
        <v>5.3629999999999995</v>
      </c>
      <c r="J40" s="106">
        <v>5.3629999999999995</v>
      </c>
      <c r="K40" s="106">
        <v>5.3629999999999995</v>
      </c>
      <c r="L40" s="106">
        <v>6.1235300365250511</v>
      </c>
      <c r="M40" s="106">
        <v>6.1235300365250511</v>
      </c>
      <c r="N40" s="109">
        <v>6.1235300365250511</v>
      </c>
      <c r="O40" s="61"/>
    </row>
    <row r="41" spans="1:15" s="13" customFormat="1" ht="25.5" x14ac:dyDescent="0.2">
      <c r="A41" s="82"/>
      <c r="B41" s="87" t="s">
        <v>118</v>
      </c>
      <c r="C41" s="119">
        <f>SUM(C42:C43)</f>
        <v>1063691.4400000002</v>
      </c>
      <c r="D41" s="119">
        <f t="shared" ref="D41:N41" si="8">SUM(D42:D43)</f>
        <v>1007002.78</v>
      </c>
      <c r="E41" s="120">
        <f t="shared" si="8"/>
        <v>1062450.8899999999</v>
      </c>
      <c r="F41" s="120">
        <f t="shared" si="8"/>
        <v>1056190.19</v>
      </c>
      <c r="G41" s="119">
        <f t="shared" si="8"/>
        <v>1227142.22</v>
      </c>
      <c r="H41" s="119">
        <f t="shared" si="8"/>
        <v>1197387.5999999999</v>
      </c>
      <c r="I41" s="119">
        <f t="shared" si="8"/>
        <v>1200392.96</v>
      </c>
      <c r="J41" s="119">
        <f t="shared" si="8"/>
        <v>1192228.79</v>
      </c>
      <c r="K41" s="119">
        <f t="shared" si="8"/>
        <v>1192669.18</v>
      </c>
      <c r="L41" s="119">
        <f t="shared" si="8"/>
        <v>1225813.8399999999</v>
      </c>
      <c r="M41" s="119">
        <f t="shared" si="8"/>
        <v>1234126.6700000002</v>
      </c>
      <c r="N41" s="118">
        <f t="shared" si="8"/>
        <v>1233361.28</v>
      </c>
    </row>
    <row r="42" spans="1:15" s="13" customFormat="1" ht="25.5" x14ac:dyDescent="0.2">
      <c r="A42" s="178"/>
      <c r="B42" s="91" t="s">
        <v>116</v>
      </c>
      <c r="C42" s="146">
        <v>850.58</v>
      </c>
      <c r="D42" s="146">
        <v>1150.1400000000001</v>
      </c>
      <c r="E42" s="99">
        <v>1178.98</v>
      </c>
      <c r="F42" s="99">
        <v>1377.28</v>
      </c>
      <c r="G42" s="147">
        <v>1386.94</v>
      </c>
      <c r="H42" s="146">
        <v>1354.18</v>
      </c>
      <c r="I42" s="146">
        <v>1251.6600000000001</v>
      </c>
      <c r="J42" s="146">
        <v>1551.11</v>
      </c>
      <c r="K42" s="146">
        <v>1608.71</v>
      </c>
      <c r="L42" s="146">
        <v>1250.6400000000001</v>
      </c>
      <c r="M42" s="146">
        <v>1067.3599999999999</v>
      </c>
      <c r="N42" s="158">
        <v>1060.92</v>
      </c>
    </row>
    <row r="43" spans="1:15" s="13" customFormat="1" ht="25.5" x14ac:dyDescent="0.2">
      <c r="A43" s="178"/>
      <c r="B43" s="90" t="s">
        <v>117</v>
      </c>
      <c r="C43" s="196">
        <v>1062840.8600000001</v>
      </c>
      <c r="D43" s="196">
        <v>1005852.64</v>
      </c>
      <c r="E43" s="103">
        <v>1061271.9099999999</v>
      </c>
      <c r="F43" s="103">
        <v>1054812.9099999999</v>
      </c>
      <c r="G43" s="197">
        <v>1225755.28</v>
      </c>
      <c r="H43" s="196">
        <v>1196033.42</v>
      </c>
      <c r="I43" s="196">
        <v>1199141.3</v>
      </c>
      <c r="J43" s="196">
        <v>1190677.68</v>
      </c>
      <c r="K43" s="196">
        <v>1191060.47</v>
      </c>
      <c r="L43" s="196">
        <v>1224563.2</v>
      </c>
      <c r="M43" s="196">
        <v>1233059.31</v>
      </c>
      <c r="N43" s="148">
        <v>1232300.3600000001</v>
      </c>
    </row>
    <row r="44" spans="1:15" s="13" customFormat="1" ht="26.25" thickBot="1" x14ac:dyDescent="0.25">
      <c r="A44" s="84"/>
      <c r="B44" s="191" t="s">
        <v>65</v>
      </c>
      <c r="C44" s="128">
        <v>1453322.29</v>
      </c>
      <c r="D44" s="129">
        <v>1453322.29</v>
      </c>
      <c r="E44" s="130">
        <v>1453322.29</v>
      </c>
      <c r="F44" s="130">
        <v>1453322.29</v>
      </c>
      <c r="G44" s="131">
        <v>1453322.29</v>
      </c>
      <c r="H44" s="128">
        <v>1453322.29</v>
      </c>
      <c r="I44" s="129">
        <v>1453322.29</v>
      </c>
      <c r="J44" s="128">
        <v>1453322.29</v>
      </c>
      <c r="K44" s="129">
        <v>1453322.29</v>
      </c>
      <c r="L44" s="128">
        <v>1748346.71</v>
      </c>
      <c r="M44" s="129">
        <v>1748346.71</v>
      </c>
      <c r="N44" s="132">
        <v>1748346.71</v>
      </c>
    </row>
    <row r="45" spans="1:15" s="13" customFormat="1" ht="26.25" thickBot="1" x14ac:dyDescent="0.25">
      <c r="A45" s="36" t="s">
        <v>16</v>
      </c>
      <c r="B45" s="37" t="s">
        <v>11</v>
      </c>
      <c r="C45" s="20"/>
      <c r="D45" s="20"/>
      <c r="E45" s="21"/>
      <c r="F45" s="21"/>
      <c r="G45" s="66"/>
      <c r="H45" s="20"/>
      <c r="I45" s="20"/>
      <c r="J45" s="20"/>
      <c r="K45" s="20"/>
      <c r="L45" s="20"/>
      <c r="M45" s="20"/>
      <c r="N45" s="55"/>
    </row>
    <row r="46" spans="1:15" s="13" customFormat="1" ht="14.25" customHeight="1" x14ac:dyDescent="0.2">
      <c r="A46" s="85"/>
      <c r="B46" s="88" t="s">
        <v>61</v>
      </c>
      <c r="C46" s="159">
        <f>SUM(C47:C49)</f>
        <v>2516.5529999999999</v>
      </c>
      <c r="D46" s="159">
        <f t="shared" ref="D46:N46" si="9">SUM(D47:D49)</f>
        <v>2713.6329999999998</v>
      </c>
      <c r="E46" s="160">
        <f t="shared" si="9"/>
        <v>2722.3029999999999</v>
      </c>
      <c r="F46" s="160">
        <f t="shared" si="9"/>
        <v>2686.6329999999998</v>
      </c>
      <c r="G46" s="160">
        <f t="shared" si="9"/>
        <v>2664.4029999999998</v>
      </c>
      <c r="H46" s="160">
        <f t="shared" si="9"/>
        <v>2675.433</v>
      </c>
      <c r="I46" s="160">
        <f t="shared" si="9"/>
        <v>2931.1030000000001</v>
      </c>
      <c r="J46" s="160">
        <f t="shared" si="9"/>
        <v>2957.663</v>
      </c>
      <c r="K46" s="160">
        <f t="shared" si="9"/>
        <v>2906.413</v>
      </c>
      <c r="L46" s="160">
        <f t="shared" si="9"/>
        <v>2997.0435300365252</v>
      </c>
      <c r="M46" s="160">
        <f t="shared" si="9"/>
        <v>3049.9235300365253</v>
      </c>
      <c r="N46" s="161">
        <f t="shared" si="9"/>
        <v>3001.0635300365248</v>
      </c>
    </row>
    <row r="47" spans="1:15" s="13" customFormat="1" x14ac:dyDescent="0.2">
      <c r="A47" s="25"/>
      <c r="B47" s="89" t="s">
        <v>113</v>
      </c>
      <c r="C47" s="101">
        <f>C37</f>
        <v>2190.75</v>
      </c>
      <c r="D47" s="101">
        <f t="shared" ref="D47:N47" si="10">D37</f>
        <v>2387.83</v>
      </c>
      <c r="E47" s="102">
        <f t="shared" si="10"/>
        <v>2396.5</v>
      </c>
      <c r="F47" s="102">
        <f t="shared" si="10"/>
        <v>2360.83</v>
      </c>
      <c r="G47" s="157">
        <f t="shared" si="10"/>
        <v>2338.6</v>
      </c>
      <c r="H47" s="101">
        <f t="shared" si="10"/>
        <v>2349.63</v>
      </c>
      <c r="I47" s="101">
        <f t="shared" si="10"/>
        <v>2605.3000000000002</v>
      </c>
      <c r="J47" s="101">
        <f t="shared" si="10"/>
        <v>2631.86</v>
      </c>
      <c r="K47" s="101">
        <f t="shared" si="10"/>
        <v>2580.61</v>
      </c>
      <c r="L47" s="101">
        <f t="shared" si="10"/>
        <v>2625.93</v>
      </c>
      <c r="M47" s="101">
        <f t="shared" si="10"/>
        <v>2678.81</v>
      </c>
      <c r="N47" s="158">
        <f t="shared" si="10"/>
        <v>2629.95</v>
      </c>
    </row>
    <row r="48" spans="1:15" s="13" customFormat="1" x14ac:dyDescent="0.2">
      <c r="A48" s="40"/>
      <c r="B48" s="90" t="s">
        <v>9</v>
      </c>
      <c r="C48" s="114">
        <f t="shared" ref="C48:N48" si="11">C39</f>
        <v>320.44</v>
      </c>
      <c r="D48" s="114">
        <f t="shared" si="11"/>
        <v>320.44</v>
      </c>
      <c r="E48" s="115">
        <f t="shared" si="11"/>
        <v>320.44</v>
      </c>
      <c r="F48" s="115">
        <f t="shared" si="11"/>
        <v>320.44</v>
      </c>
      <c r="G48" s="121">
        <f t="shared" si="11"/>
        <v>320.44</v>
      </c>
      <c r="H48" s="115">
        <f t="shared" si="11"/>
        <v>320.44</v>
      </c>
      <c r="I48" s="115">
        <f t="shared" si="11"/>
        <v>320.44</v>
      </c>
      <c r="J48" s="115">
        <f t="shared" si="11"/>
        <v>320.44</v>
      </c>
      <c r="K48" s="115">
        <f t="shared" si="11"/>
        <v>320.44</v>
      </c>
      <c r="L48" s="115">
        <f t="shared" si="11"/>
        <v>364.99</v>
      </c>
      <c r="M48" s="115">
        <f t="shared" si="11"/>
        <v>364.99</v>
      </c>
      <c r="N48" s="122">
        <f t="shared" si="11"/>
        <v>364.99</v>
      </c>
    </row>
    <row r="49" spans="1:15" s="13" customFormat="1" x14ac:dyDescent="0.2">
      <c r="A49" s="81"/>
      <c r="B49" s="91" t="s">
        <v>42</v>
      </c>
      <c r="C49" s="106">
        <f t="shared" ref="C49:N49" si="12">C40</f>
        <v>5.3629999999999995</v>
      </c>
      <c r="D49" s="106">
        <f t="shared" si="12"/>
        <v>5.3629999999999995</v>
      </c>
      <c r="E49" s="107">
        <f t="shared" si="12"/>
        <v>5.3629999999999995</v>
      </c>
      <c r="F49" s="107">
        <f t="shared" si="12"/>
        <v>5.3629999999999995</v>
      </c>
      <c r="G49" s="108">
        <f t="shared" si="12"/>
        <v>5.3629999999999995</v>
      </c>
      <c r="H49" s="106">
        <f t="shared" si="12"/>
        <v>5.3629999999999995</v>
      </c>
      <c r="I49" s="106">
        <f t="shared" si="12"/>
        <v>5.3629999999999995</v>
      </c>
      <c r="J49" s="106">
        <f t="shared" si="12"/>
        <v>5.3629999999999995</v>
      </c>
      <c r="K49" s="106">
        <f t="shared" si="12"/>
        <v>5.3629999999999995</v>
      </c>
      <c r="L49" s="106">
        <f t="shared" si="12"/>
        <v>6.1235300365250511</v>
      </c>
      <c r="M49" s="106">
        <f t="shared" si="12"/>
        <v>6.1235300365250511</v>
      </c>
      <c r="N49" s="109">
        <f t="shared" si="12"/>
        <v>6.1235300365250511</v>
      </c>
    </row>
    <row r="50" spans="1:15" s="13" customFormat="1" ht="25.5" x14ac:dyDescent="0.2">
      <c r="A50" s="81"/>
      <c r="B50" s="87" t="s">
        <v>118</v>
      </c>
      <c r="C50" s="119">
        <f>SUM(C51:C52)</f>
        <v>1063691.4400000002</v>
      </c>
      <c r="D50" s="119">
        <f t="shared" ref="D50:N50" si="13">SUM(D51:D52)</f>
        <v>1007002.78</v>
      </c>
      <c r="E50" s="120">
        <f t="shared" si="13"/>
        <v>1062450.8899999999</v>
      </c>
      <c r="F50" s="120">
        <f t="shared" si="13"/>
        <v>1056190.19</v>
      </c>
      <c r="G50" s="119">
        <f t="shared" si="13"/>
        <v>1227142.22</v>
      </c>
      <c r="H50" s="119">
        <f t="shared" si="13"/>
        <v>1197387.5999999999</v>
      </c>
      <c r="I50" s="119">
        <f t="shared" si="13"/>
        <v>1200392.96</v>
      </c>
      <c r="J50" s="119">
        <f t="shared" si="13"/>
        <v>1192228.79</v>
      </c>
      <c r="K50" s="119">
        <f t="shared" si="13"/>
        <v>1192669.18</v>
      </c>
      <c r="L50" s="119">
        <f t="shared" si="13"/>
        <v>1225813.8399999999</v>
      </c>
      <c r="M50" s="119">
        <f t="shared" si="13"/>
        <v>1234126.6700000002</v>
      </c>
      <c r="N50" s="127">
        <f t="shared" si="13"/>
        <v>1233361.28</v>
      </c>
    </row>
    <row r="51" spans="1:15" s="13" customFormat="1" ht="25.5" x14ac:dyDescent="0.2">
      <c r="A51" s="81"/>
      <c r="B51" s="91" t="s">
        <v>116</v>
      </c>
      <c r="C51" s="146">
        <v>850.58</v>
      </c>
      <c r="D51" s="146">
        <v>1150.1400000000001</v>
      </c>
      <c r="E51" s="99">
        <v>1178.98</v>
      </c>
      <c r="F51" s="99">
        <v>1377.28</v>
      </c>
      <c r="G51" s="147">
        <v>1386.94</v>
      </c>
      <c r="H51" s="146">
        <v>1354.18</v>
      </c>
      <c r="I51" s="146">
        <v>1251.6600000000001</v>
      </c>
      <c r="J51" s="146">
        <v>1551.11</v>
      </c>
      <c r="K51" s="146">
        <v>1608.71</v>
      </c>
      <c r="L51" s="146">
        <v>1250.6400000000001</v>
      </c>
      <c r="M51" s="146">
        <v>1067.3599999999999</v>
      </c>
      <c r="N51" s="158">
        <v>1060.92</v>
      </c>
    </row>
    <row r="52" spans="1:15" s="13" customFormat="1" ht="26.25" thickBot="1" x14ac:dyDescent="0.25">
      <c r="A52" s="32"/>
      <c r="B52" s="186" t="s">
        <v>117</v>
      </c>
      <c r="C52" s="194">
        <v>1062840.8600000001</v>
      </c>
      <c r="D52" s="194">
        <v>1005852.64</v>
      </c>
      <c r="E52" s="173">
        <v>1061271.9099999999</v>
      </c>
      <c r="F52" s="173">
        <v>1054812.9099999999</v>
      </c>
      <c r="G52" s="195">
        <v>1225755.28</v>
      </c>
      <c r="H52" s="194">
        <v>1196033.42</v>
      </c>
      <c r="I52" s="194">
        <v>1199141.3</v>
      </c>
      <c r="J52" s="194">
        <v>1190677.68</v>
      </c>
      <c r="K52" s="194">
        <v>1191060.47</v>
      </c>
      <c r="L52" s="194">
        <v>1224563.2</v>
      </c>
      <c r="M52" s="194">
        <v>1233059.31</v>
      </c>
      <c r="N52" s="188">
        <v>1232300.3600000001</v>
      </c>
    </row>
    <row r="53" spans="1:15" ht="15" customHeight="1" x14ac:dyDescent="0.2"/>
    <row r="54" spans="1:15" ht="15" customHeight="1" x14ac:dyDescent="0.2"/>
    <row r="55" spans="1:15" s="59" customFormat="1" ht="21" customHeight="1" thickBot="1" x14ac:dyDescent="0.25">
      <c r="A55" s="7" t="s">
        <v>76</v>
      </c>
      <c r="B55" s="7"/>
      <c r="C55" s="7"/>
      <c r="D55" s="7"/>
      <c r="E55" s="7"/>
      <c r="F55" s="7"/>
      <c r="G55" s="5"/>
      <c r="H55" s="5"/>
      <c r="I55" s="5"/>
      <c r="J55" s="5"/>
      <c r="K55" s="5"/>
      <c r="L55" s="6"/>
      <c r="M55" s="6"/>
      <c r="N55" s="6"/>
    </row>
    <row r="56" spans="1:15" s="13" customFormat="1" ht="24" customHeight="1" thickBot="1" x14ac:dyDescent="0.25">
      <c r="A56" s="49" t="s">
        <v>0</v>
      </c>
      <c r="B56" s="50" t="s">
        <v>1</v>
      </c>
      <c r="C56" s="51" t="s">
        <v>17</v>
      </c>
      <c r="D56" s="51" t="s">
        <v>18</v>
      </c>
      <c r="E56" s="51" t="s">
        <v>19</v>
      </c>
      <c r="F56" s="51" t="s">
        <v>20</v>
      </c>
      <c r="G56" s="51" t="s">
        <v>21</v>
      </c>
      <c r="H56" s="51" t="s">
        <v>22</v>
      </c>
      <c r="I56" s="51" t="s">
        <v>23</v>
      </c>
      <c r="J56" s="51" t="s">
        <v>24</v>
      </c>
      <c r="K56" s="51" t="s">
        <v>25</v>
      </c>
      <c r="L56" s="51" t="s">
        <v>26</v>
      </c>
      <c r="M56" s="51" t="s">
        <v>27</v>
      </c>
      <c r="N56" s="52" t="s">
        <v>28</v>
      </c>
    </row>
    <row r="57" spans="1:15" s="17" customFormat="1" ht="21" customHeight="1" thickBot="1" x14ac:dyDescent="0.25">
      <c r="A57" s="14" t="s">
        <v>31</v>
      </c>
      <c r="B57" s="15" t="s">
        <v>5</v>
      </c>
      <c r="C57" s="135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2"/>
      <c r="O57" s="44"/>
    </row>
    <row r="58" spans="1:15" s="17" customFormat="1" ht="14.25" customHeight="1" thickBot="1" x14ac:dyDescent="0.25">
      <c r="A58" s="18" t="s">
        <v>32</v>
      </c>
      <c r="B58" s="78" t="s">
        <v>7</v>
      </c>
      <c r="C58" s="20"/>
      <c r="D58" s="20"/>
      <c r="E58" s="21"/>
      <c r="F58" s="21"/>
      <c r="G58" s="63"/>
      <c r="H58" s="21"/>
      <c r="I58" s="21"/>
      <c r="J58" s="21"/>
      <c r="K58" s="21"/>
      <c r="L58" s="21"/>
      <c r="M58" s="21"/>
      <c r="N58" s="22"/>
      <c r="O58" s="61"/>
    </row>
    <row r="59" spans="1:15" s="13" customFormat="1" ht="15" customHeight="1" x14ac:dyDescent="0.2">
      <c r="A59" s="80"/>
      <c r="B59" s="86" t="s">
        <v>61</v>
      </c>
      <c r="C59" s="155">
        <f>SUM(C60:C63)</f>
        <v>3073.0329999999999</v>
      </c>
      <c r="D59" s="155">
        <f t="shared" ref="D59:N59" si="14">SUM(D60:D63)</f>
        <v>3270.1129999999998</v>
      </c>
      <c r="E59" s="156">
        <f t="shared" si="14"/>
        <v>3278.7829999999999</v>
      </c>
      <c r="F59" s="156">
        <f t="shared" si="14"/>
        <v>3243.1129999999998</v>
      </c>
      <c r="G59" s="156">
        <f t="shared" si="14"/>
        <v>3220.8829999999998</v>
      </c>
      <c r="H59" s="156">
        <f t="shared" si="14"/>
        <v>3231.913</v>
      </c>
      <c r="I59" s="156">
        <f t="shared" si="14"/>
        <v>3487.5830000000001</v>
      </c>
      <c r="J59" s="156">
        <f t="shared" si="14"/>
        <v>3514.143</v>
      </c>
      <c r="K59" s="156">
        <f t="shared" si="14"/>
        <v>3462.893</v>
      </c>
      <c r="L59" s="156">
        <f t="shared" si="14"/>
        <v>3638.1035300365247</v>
      </c>
      <c r="M59" s="156">
        <f t="shared" si="14"/>
        <v>3690.9835300365248</v>
      </c>
      <c r="N59" s="156">
        <f t="shared" si="14"/>
        <v>3642.1235300365252</v>
      </c>
      <c r="O59" s="61"/>
    </row>
    <row r="60" spans="1:15" s="13" customFormat="1" ht="15" customHeight="1" x14ac:dyDescent="0.2">
      <c r="A60" s="29"/>
      <c r="B60" s="89" t="s">
        <v>113</v>
      </c>
      <c r="C60" s="101">
        <v>2190.75</v>
      </c>
      <c r="D60" s="101">
        <v>2387.83</v>
      </c>
      <c r="E60" s="102">
        <v>2396.5</v>
      </c>
      <c r="F60" s="102">
        <v>2360.83</v>
      </c>
      <c r="G60" s="157">
        <v>2338.6</v>
      </c>
      <c r="H60" s="101">
        <v>2349.63</v>
      </c>
      <c r="I60" s="101">
        <v>2605.3000000000002</v>
      </c>
      <c r="J60" s="101">
        <v>2631.86</v>
      </c>
      <c r="K60" s="101">
        <v>2580.61</v>
      </c>
      <c r="L60" s="101">
        <v>2625.93</v>
      </c>
      <c r="M60" s="101">
        <v>2678.81</v>
      </c>
      <c r="N60" s="158">
        <v>2629.95</v>
      </c>
      <c r="O60" s="61"/>
    </row>
    <row r="61" spans="1:15" s="13" customFormat="1" ht="15" customHeight="1" x14ac:dyDescent="0.2">
      <c r="A61" s="25"/>
      <c r="B61" s="90" t="s">
        <v>64</v>
      </c>
      <c r="C61" s="114">
        <v>556.48</v>
      </c>
      <c r="D61" s="114">
        <v>556.48</v>
      </c>
      <c r="E61" s="115">
        <v>556.48</v>
      </c>
      <c r="F61" s="115">
        <v>556.48</v>
      </c>
      <c r="G61" s="116">
        <v>556.48</v>
      </c>
      <c r="H61" s="114">
        <v>556.48</v>
      </c>
      <c r="I61" s="114">
        <v>556.48</v>
      </c>
      <c r="J61" s="114">
        <v>556.48</v>
      </c>
      <c r="K61" s="114">
        <v>556.48</v>
      </c>
      <c r="L61" s="114">
        <v>641.05999999999995</v>
      </c>
      <c r="M61" s="114">
        <v>641.05999999999995</v>
      </c>
      <c r="N61" s="117">
        <v>641.05999999999995</v>
      </c>
      <c r="O61" s="61"/>
    </row>
    <row r="62" spans="1:15" s="13" customFormat="1" ht="15" customHeight="1" x14ac:dyDescent="0.2">
      <c r="A62" s="29"/>
      <c r="B62" s="89" t="s">
        <v>9</v>
      </c>
      <c r="C62" s="114">
        <v>320.44</v>
      </c>
      <c r="D62" s="114">
        <v>320.44</v>
      </c>
      <c r="E62" s="115">
        <v>320.44</v>
      </c>
      <c r="F62" s="115">
        <v>320.44</v>
      </c>
      <c r="G62" s="116">
        <v>320.44</v>
      </c>
      <c r="H62" s="114">
        <v>320.44</v>
      </c>
      <c r="I62" s="114">
        <v>320.44</v>
      </c>
      <c r="J62" s="114">
        <v>320.44</v>
      </c>
      <c r="K62" s="114">
        <v>320.44</v>
      </c>
      <c r="L62" s="114">
        <v>364.99</v>
      </c>
      <c r="M62" s="114">
        <v>364.99</v>
      </c>
      <c r="N62" s="117">
        <v>364.99</v>
      </c>
      <c r="O62" s="61"/>
    </row>
    <row r="63" spans="1:15" s="13" customFormat="1" x14ac:dyDescent="0.2">
      <c r="A63" s="81"/>
      <c r="B63" s="91" t="s">
        <v>42</v>
      </c>
      <c r="C63" s="106">
        <v>5.3629999999999995</v>
      </c>
      <c r="D63" s="106">
        <v>5.3629999999999995</v>
      </c>
      <c r="E63" s="107">
        <v>5.3629999999999995</v>
      </c>
      <c r="F63" s="107">
        <v>5.3629999999999995</v>
      </c>
      <c r="G63" s="108">
        <v>5.3629999999999995</v>
      </c>
      <c r="H63" s="106">
        <v>5.3629999999999995</v>
      </c>
      <c r="I63" s="106">
        <v>5.3629999999999995</v>
      </c>
      <c r="J63" s="106">
        <v>5.3629999999999995</v>
      </c>
      <c r="K63" s="106">
        <v>5.3629999999999995</v>
      </c>
      <c r="L63" s="106">
        <v>6.1235300365250511</v>
      </c>
      <c r="M63" s="106">
        <v>6.1235300365250511</v>
      </c>
      <c r="N63" s="109">
        <v>6.1235300365250511</v>
      </c>
      <c r="O63" s="61"/>
    </row>
    <row r="64" spans="1:15" s="13" customFormat="1" ht="25.5" x14ac:dyDescent="0.2">
      <c r="A64" s="82"/>
      <c r="B64" s="87" t="s">
        <v>118</v>
      </c>
      <c r="C64" s="119">
        <f>SUM(C65:C66)</f>
        <v>1063691.4400000002</v>
      </c>
      <c r="D64" s="119">
        <f t="shared" ref="D64:N64" si="15">SUM(D65:D66)</f>
        <v>1007002.78</v>
      </c>
      <c r="E64" s="120">
        <f t="shared" si="15"/>
        <v>1062450.8899999999</v>
      </c>
      <c r="F64" s="120">
        <f t="shared" si="15"/>
        <v>1056190.19</v>
      </c>
      <c r="G64" s="119">
        <f t="shared" si="15"/>
        <v>1227142.22</v>
      </c>
      <c r="H64" s="119">
        <f t="shared" si="15"/>
        <v>1197387.5999999999</v>
      </c>
      <c r="I64" s="119">
        <f t="shared" si="15"/>
        <v>1200392.96</v>
      </c>
      <c r="J64" s="119">
        <f t="shared" si="15"/>
        <v>1192228.79</v>
      </c>
      <c r="K64" s="119">
        <f t="shared" si="15"/>
        <v>1192669.18</v>
      </c>
      <c r="L64" s="119">
        <f t="shared" si="15"/>
        <v>1225813.8399999999</v>
      </c>
      <c r="M64" s="119">
        <f t="shared" si="15"/>
        <v>1234126.6700000002</v>
      </c>
      <c r="N64" s="118">
        <f t="shared" si="15"/>
        <v>1233361.28</v>
      </c>
    </row>
    <row r="65" spans="1:15" s="13" customFormat="1" ht="25.5" x14ac:dyDescent="0.2">
      <c r="A65" s="178"/>
      <c r="B65" s="91" t="s">
        <v>116</v>
      </c>
      <c r="C65" s="146">
        <v>850.58</v>
      </c>
      <c r="D65" s="146">
        <v>1150.1400000000001</v>
      </c>
      <c r="E65" s="99">
        <v>1178.98</v>
      </c>
      <c r="F65" s="99">
        <v>1377.28</v>
      </c>
      <c r="G65" s="147">
        <v>1386.94</v>
      </c>
      <c r="H65" s="146">
        <v>1354.18</v>
      </c>
      <c r="I65" s="146">
        <v>1251.6600000000001</v>
      </c>
      <c r="J65" s="146">
        <v>1551.11</v>
      </c>
      <c r="K65" s="146">
        <v>1608.71</v>
      </c>
      <c r="L65" s="146">
        <v>1250.6400000000001</v>
      </c>
      <c r="M65" s="146">
        <v>1067.3599999999999</v>
      </c>
      <c r="N65" s="158">
        <v>1060.92</v>
      </c>
    </row>
    <row r="66" spans="1:15" s="13" customFormat="1" ht="25.5" x14ac:dyDescent="0.2">
      <c r="A66" s="178"/>
      <c r="B66" s="90" t="s">
        <v>117</v>
      </c>
      <c r="C66" s="196">
        <v>1062840.8600000001</v>
      </c>
      <c r="D66" s="196">
        <v>1005852.64</v>
      </c>
      <c r="E66" s="103">
        <v>1061271.9099999999</v>
      </c>
      <c r="F66" s="103">
        <v>1054812.9099999999</v>
      </c>
      <c r="G66" s="197">
        <v>1225755.28</v>
      </c>
      <c r="H66" s="196">
        <v>1196033.42</v>
      </c>
      <c r="I66" s="196">
        <v>1199141.3</v>
      </c>
      <c r="J66" s="196">
        <v>1190677.68</v>
      </c>
      <c r="K66" s="196">
        <v>1191060.47</v>
      </c>
      <c r="L66" s="196">
        <v>1224563.2</v>
      </c>
      <c r="M66" s="101">
        <v>1233059.31</v>
      </c>
      <c r="N66" s="148">
        <v>1232300.3600000001</v>
      </c>
    </row>
    <row r="67" spans="1:15" s="13" customFormat="1" ht="26.25" thickBot="1" x14ac:dyDescent="0.25">
      <c r="A67" s="84"/>
      <c r="B67" s="191" t="s">
        <v>65</v>
      </c>
      <c r="C67" s="128">
        <v>1502350</v>
      </c>
      <c r="D67" s="129">
        <v>1502350</v>
      </c>
      <c r="E67" s="130">
        <v>1502350</v>
      </c>
      <c r="F67" s="130">
        <v>1502350</v>
      </c>
      <c r="G67" s="131">
        <v>1502350</v>
      </c>
      <c r="H67" s="128">
        <v>1502350</v>
      </c>
      <c r="I67" s="129">
        <v>1502350</v>
      </c>
      <c r="J67" s="128">
        <v>1502350</v>
      </c>
      <c r="K67" s="129">
        <v>1502350</v>
      </c>
      <c r="L67" s="128">
        <v>1807327.05</v>
      </c>
      <c r="M67" s="123">
        <v>1807327.05</v>
      </c>
      <c r="N67" s="132">
        <v>1807327.05</v>
      </c>
    </row>
    <row r="68" spans="1:15" s="13" customFormat="1" ht="26.25" thickBot="1" x14ac:dyDescent="0.25">
      <c r="A68" s="36" t="s">
        <v>33</v>
      </c>
      <c r="B68" s="37" t="s">
        <v>11</v>
      </c>
      <c r="C68" s="20"/>
      <c r="D68" s="20"/>
      <c r="E68" s="21"/>
      <c r="F68" s="21"/>
      <c r="G68" s="66"/>
      <c r="H68" s="20"/>
      <c r="I68" s="20"/>
      <c r="J68" s="20"/>
      <c r="K68" s="20"/>
      <c r="L68" s="20"/>
      <c r="M68" s="20"/>
      <c r="N68" s="55"/>
    </row>
    <row r="69" spans="1:15" s="13" customFormat="1" ht="14.25" customHeight="1" x14ac:dyDescent="0.2">
      <c r="A69" s="85"/>
      <c r="B69" s="88" t="s">
        <v>61</v>
      </c>
      <c r="C69" s="159">
        <f>SUM(C70:C72)</f>
        <v>2516.5529999999999</v>
      </c>
      <c r="D69" s="159">
        <f t="shared" ref="D69:N69" si="16">SUM(D70:D72)</f>
        <v>2713.6329999999998</v>
      </c>
      <c r="E69" s="160">
        <f t="shared" si="16"/>
        <v>2722.3029999999999</v>
      </c>
      <c r="F69" s="160">
        <f t="shared" si="16"/>
        <v>2686.6329999999998</v>
      </c>
      <c r="G69" s="160">
        <f t="shared" si="16"/>
        <v>2664.4029999999998</v>
      </c>
      <c r="H69" s="160">
        <f t="shared" si="16"/>
        <v>2675.433</v>
      </c>
      <c r="I69" s="160">
        <f t="shared" si="16"/>
        <v>2931.1030000000001</v>
      </c>
      <c r="J69" s="160">
        <f t="shared" si="16"/>
        <v>2957.663</v>
      </c>
      <c r="K69" s="160">
        <f t="shared" si="16"/>
        <v>2906.413</v>
      </c>
      <c r="L69" s="160">
        <f t="shared" si="16"/>
        <v>2997.0435300365252</v>
      </c>
      <c r="M69" s="160">
        <f t="shared" si="16"/>
        <v>3049.9235300365253</v>
      </c>
      <c r="N69" s="161">
        <f t="shared" si="16"/>
        <v>3001.0635300365248</v>
      </c>
    </row>
    <row r="70" spans="1:15" s="13" customFormat="1" x14ac:dyDescent="0.2">
      <c r="A70" s="25"/>
      <c r="B70" s="89" t="s">
        <v>113</v>
      </c>
      <c r="C70" s="101">
        <f>C60</f>
        <v>2190.75</v>
      </c>
      <c r="D70" s="101">
        <f t="shared" ref="D70:N70" si="17">D60</f>
        <v>2387.83</v>
      </c>
      <c r="E70" s="102">
        <f t="shared" si="17"/>
        <v>2396.5</v>
      </c>
      <c r="F70" s="102">
        <f t="shared" si="17"/>
        <v>2360.83</v>
      </c>
      <c r="G70" s="157">
        <f t="shared" si="17"/>
        <v>2338.6</v>
      </c>
      <c r="H70" s="101">
        <f t="shared" si="17"/>
        <v>2349.63</v>
      </c>
      <c r="I70" s="101">
        <f t="shared" si="17"/>
        <v>2605.3000000000002</v>
      </c>
      <c r="J70" s="101">
        <f t="shared" si="17"/>
        <v>2631.86</v>
      </c>
      <c r="K70" s="101">
        <f t="shared" si="17"/>
        <v>2580.61</v>
      </c>
      <c r="L70" s="101">
        <f t="shared" si="17"/>
        <v>2625.93</v>
      </c>
      <c r="M70" s="101">
        <f t="shared" si="17"/>
        <v>2678.81</v>
      </c>
      <c r="N70" s="158">
        <f t="shared" si="17"/>
        <v>2629.95</v>
      </c>
    </row>
    <row r="71" spans="1:15" s="13" customFormat="1" x14ac:dyDescent="0.2">
      <c r="A71" s="40"/>
      <c r="B71" s="90" t="s">
        <v>9</v>
      </c>
      <c r="C71" s="114">
        <f t="shared" ref="C71:N71" si="18">C62</f>
        <v>320.44</v>
      </c>
      <c r="D71" s="114">
        <f t="shared" si="18"/>
        <v>320.44</v>
      </c>
      <c r="E71" s="115">
        <f t="shared" si="18"/>
        <v>320.44</v>
      </c>
      <c r="F71" s="115">
        <f t="shared" si="18"/>
        <v>320.44</v>
      </c>
      <c r="G71" s="121">
        <f t="shared" si="18"/>
        <v>320.44</v>
      </c>
      <c r="H71" s="115">
        <f t="shared" si="18"/>
        <v>320.44</v>
      </c>
      <c r="I71" s="115">
        <f t="shared" si="18"/>
        <v>320.44</v>
      </c>
      <c r="J71" s="115">
        <f t="shared" si="18"/>
        <v>320.44</v>
      </c>
      <c r="K71" s="115">
        <f t="shared" si="18"/>
        <v>320.44</v>
      </c>
      <c r="L71" s="115">
        <f t="shared" si="18"/>
        <v>364.99</v>
      </c>
      <c r="M71" s="115">
        <f t="shared" si="18"/>
        <v>364.99</v>
      </c>
      <c r="N71" s="122">
        <f t="shared" si="18"/>
        <v>364.99</v>
      </c>
    </row>
    <row r="72" spans="1:15" s="13" customFormat="1" x14ac:dyDescent="0.2">
      <c r="A72" s="81"/>
      <c r="B72" s="91" t="s">
        <v>42</v>
      </c>
      <c r="C72" s="106">
        <f t="shared" ref="C72:N72" si="19">C63</f>
        <v>5.3629999999999995</v>
      </c>
      <c r="D72" s="106">
        <f t="shared" si="19"/>
        <v>5.3629999999999995</v>
      </c>
      <c r="E72" s="107">
        <f t="shared" si="19"/>
        <v>5.3629999999999995</v>
      </c>
      <c r="F72" s="107">
        <f t="shared" si="19"/>
        <v>5.3629999999999995</v>
      </c>
      <c r="G72" s="108">
        <f t="shared" si="19"/>
        <v>5.3629999999999995</v>
      </c>
      <c r="H72" s="106">
        <f t="shared" si="19"/>
        <v>5.3629999999999995</v>
      </c>
      <c r="I72" s="106">
        <f t="shared" si="19"/>
        <v>5.3629999999999995</v>
      </c>
      <c r="J72" s="106">
        <f t="shared" si="19"/>
        <v>5.3629999999999995</v>
      </c>
      <c r="K72" s="106">
        <f t="shared" si="19"/>
        <v>5.3629999999999995</v>
      </c>
      <c r="L72" s="106">
        <f t="shared" si="19"/>
        <v>6.1235300365250511</v>
      </c>
      <c r="M72" s="106">
        <f t="shared" si="19"/>
        <v>6.1235300365250511</v>
      </c>
      <c r="N72" s="109">
        <f t="shared" si="19"/>
        <v>6.1235300365250511</v>
      </c>
    </row>
    <row r="73" spans="1:15" s="13" customFormat="1" ht="25.5" x14ac:dyDescent="0.2">
      <c r="A73" s="81"/>
      <c r="B73" s="87" t="s">
        <v>118</v>
      </c>
      <c r="C73" s="119">
        <f>SUM(C74:C75)</f>
        <v>1063691.4400000002</v>
      </c>
      <c r="D73" s="119">
        <f t="shared" ref="D73:N73" si="20">SUM(D74:D75)</f>
        <v>1007002.78</v>
      </c>
      <c r="E73" s="120">
        <f t="shared" si="20"/>
        <v>1062450.8899999999</v>
      </c>
      <c r="F73" s="120">
        <f t="shared" si="20"/>
        <v>1056190.19</v>
      </c>
      <c r="G73" s="119">
        <f t="shared" si="20"/>
        <v>1227142.22</v>
      </c>
      <c r="H73" s="119">
        <f t="shared" si="20"/>
        <v>1197387.5999999999</v>
      </c>
      <c r="I73" s="119">
        <f t="shared" si="20"/>
        <v>1200392.96</v>
      </c>
      <c r="J73" s="119">
        <f t="shared" si="20"/>
        <v>1192228.79</v>
      </c>
      <c r="K73" s="119">
        <f t="shared" si="20"/>
        <v>1192669.18</v>
      </c>
      <c r="L73" s="119">
        <f t="shared" si="20"/>
        <v>1225813.8399999999</v>
      </c>
      <c r="M73" s="119">
        <f t="shared" si="20"/>
        <v>1234126.6700000002</v>
      </c>
      <c r="N73" s="127">
        <f t="shared" si="20"/>
        <v>1233361.28</v>
      </c>
    </row>
    <row r="74" spans="1:15" s="13" customFormat="1" ht="25.5" x14ac:dyDescent="0.2">
      <c r="A74" s="81"/>
      <c r="B74" s="91" t="s">
        <v>116</v>
      </c>
      <c r="C74" s="146">
        <v>850.58</v>
      </c>
      <c r="D74" s="146">
        <v>1150.1400000000001</v>
      </c>
      <c r="E74" s="99">
        <v>1178.98</v>
      </c>
      <c r="F74" s="99">
        <v>1377.28</v>
      </c>
      <c r="G74" s="147">
        <v>1386.94</v>
      </c>
      <c r="H74" s="146">
        <v>1354.18</v>
      </c>
      <c r="I74" s="146">
        <v>1251.6600000000001</v>
      </c>
      <c r="J74" s="146">
        <v>1551.11</v>
      </c>
      <c r="K74" s="146">
        <v>1608.71</v>
      </c>
      <c r="L74" s="146">
        <v>1250.6400000000001</v>
      </c>
      <c r="M74" s="146">
        <v>1067.3599999999999</v>
      </c>
      <c r="N74" s="158">
        <v>1060.92</v>
      </c>
    </row>
    <row r="75" spans="1:15" s="13" customFormat="1" ht="26.25" thickBot="1" x14ac:dyDescent="0.25">
      <c r="A75" s="32"/>
      <c r="B75" s="186" t="s">
        <v>117</v>
      </c>
      <c r="C75" s="194">
        <v>1062840.8600000001</v>
      </c>
      <c r="D75" s="194">
        <v>1005852.64</v>
      </c>
      <c r="E75" s="173">
        <v>1061271.9099999999</v>
      </c>
      <c r="F75" s="173">
        <v>1054812.9099999999</v>
      </c>
      <c r="G75" s="195">
        <v>1225755.28</v>
      </c>
      <c r="H75" s="194">
        <v>1196033.42</v>
      </c>
      <c r="I75" s="194">
        <v>1199141.3</v>
      </c>
      <c r="J75" s="194">
        <v>1190677.68</v>
      </c>
      <c r="K75" s="194">
        <v>1191060.47</v>
      </c>
      <c r="L75" s="194">
        <v>1224563.2</v>
      </c>
      <c r="M75" s="194">
        <v>1233059.31</v>
      </c>
      <c r="N75" s="188">
        <v>1232300.3600000001</v>
      </c>
    </row>
    <row r="76" spans="1:15" s="13" customFormat="1" ht="15" customHeight="1" x14ac:dyDescent="0.2">
      <c r="A76" s="45"/>
      <c r="B76" s="46"/>
      <c r="C76" s="47"/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</row>
    <row r="77" spans="1:15" s="13" customFormat="1" ht="15" customHeight="1" x14ac:dyDescent="0.2">
      <c r="A77" s="45"/>
      <c r="B77" s="46"/>
      <c r="C77" s="47"/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</row>
    <row r="78" spans="1:15" s="59" customFormat="1" ht="21" customHeight="1" thickBot="1" x14ac:dyDescent="0.25">
      <c r="A78" s="7" t="s">
        <v>77</v>
      </c>
      <c r="B78" s="7"/>
      <c r="C78" s="7"/>
      <c r="D78" s="7"/>
      <c r="E78" s="7"/>
      <c r="F78" s="7"/>
      <c r="G78" s="5"/>
      <c r="H78" s="5"/>
      <c r="I78" s="5"/>
      <c r="J78" s="5"/>
      <c r="K78" s="5"/>
      <c r="L78" s="6"/>
      <c r="M78" s="6"/>
      <c r="N78" s="6"/>
    </row>
    <row r="79" spans="1:15" s="13" customFormat="1" ht="24" customHeight="1" thickBot="1" x14ac:dyDescent="0.25">
      <c r="A79" s="49" t="s">
        <v>0</v>
      </c>
      <c r="B79" s="50" t="s">
        <v>1</v>
      </c>
      <c r="C79" s="51" t="s">
        <v>17</v>
      </c>
      <c r="D79" s="51" t="s">
        <v>18</v>
      </c>
      <c r="E79" s="51" t="s">
        <v>19</v>
      </c>
      <c r="F79" s="51" t="s">
        <v>20</v>
      </c>
      <c r="G79" s="51" t="s">
        <v>21</v>
      </c>
      <c r="H79" s="51" t="s">
        <v>22</v>
      </c>
      <c r="I79" s="51" t="s">
        <v>23</v>
      </c>
      <c r="J79" s="51" t="s">
        <v>24</v>
      </c>
      <c r="K79" s="51" t="s">
        <v>25</v>
      </c>
      <c r="L79" s="51" t="s">
        <v>26</v>
      </c>
      <c r="M79" s="51" t="s">
        <v>27</v>
      </c>
      <c r="N79" s="52" t="s">
        <v>28</v>
      </c>
    </row>
    <row r="80" spans="1:15" s="17" customFormat="1" ht="21" customHeight="1" thickBot="1" x14ac:dyDescent="0.25">
      <c r="A80" s="14" t="s">
        <v>34</v>
      </c>
      <c r="B80" s="15" t="s">
        <v>5</v>
      </c>
      <c r="C80" s="135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2"/>
      <c r="O80" s="44"/>
    </row>
    <row r="81" spans="1:15" s="17" customFormat="1" ht="13.5" thickBot="1" x14ac:dyDescent="0.25">
      <c r="A81" s="18" t="s">
        <v>35</v>
      </c>
      <c r="B81" s="78" t="s">
        <v>7</v>
      </c>
      <c r="C81" s="20"/>
      <c r="D81" s="20"/>
      <c r="E81" s="21"/>
      <c r="F81" s="21"/>
      <c r="G81" s="63"/>
      <c r="H81" s="21"/>
      <c r="I81" s="21"/>
      <c r="J81" s="21"/>
      <c r="K81" s="21"/>
      <c r="L81" s="21"/>
      <c r="M81" s="21"/>
      <c r="N81" s="22"/>
      <c r="O81" s="61"/>
    </row>
    <row r="82" spans="1:15" s="13" customFormat="1" ht="15" customHeight="1" x14ac:dyDescent="0.2">
      <c r="A82" s="80"/>
      <c r="B82" s="86" t="s">
        <v>61</v>
      </c>
      <c r="C82" s="155">
        <f>SUM(C83:C86)</f>
        <v>3624.433</v>
      </c>
      <c r="D82" s="155">
        <f t="shared" ref="D82:N82" si="21">SUM(D83:D86)</f>
        <v>3821.5129999999999</v>
      </c>
      <c r="E82" s="156">
        <f t="shared" si="21"/>
        <v>3830.183</v>
      </c>
      <c r="F82" s="156">
        <f t="shared" si="21"/>
        <v>3794.5129999999999</v>
      </c>
      <c r="G82" s="156">
        <f t="shared" si="21"/>
        <v>3772.2829999999999</v>
      </c>
      <c r="H82" s="156">
        <f t="shared" si="21"/>
        <v>3783.3130000000001</v>
      </c>
      <c r="I82" s="156">
        <f t="shared" si="21"/>
        <v>4038.9830000000002</v>
      </c>
      <c r="J82" s="156">
        <f t="shared" si="21"/>
        <v>4065.5430000000001</v>
      </c>
      <c r="K82" s="156">
        <f t="shared" si="21"/>
        <v>4014.2930000000001</v>
      </c>
      <c r="L82" s="156">
        <f t="shared" si="21"/>
        <v>4273.323530036525</v>
      </c>
      <c r="M82" s="156">
        <f t="shared" si="21"/>
        <v>4326.2035300365251</v>
      </c>
      <c r="N82" s="156">
        <f t="shared" si="21"/>
        <v>4277.3435300365245</v>
      </c>
      <c r="O82" s="61"/>
    </row>
    <row r="83" spans="1:15" s="13" customFormat="1" ht="15" customHeight="1" x14ac:dyDescent="0.2">
      <c r="A83" s="29"/>
      <c r="B83" s="89" t="s">
        <v>113</v>
      </c>
      <c r="C83" s="101">
        <v>2190.75</v>
      </c>
      <c r="D83" s="101">
        <v>2387.83</v>
      </c>
      <c r="E83" s="102">
        <v>2396.5</v>
      </c>
      <c r="F83" s="102">
        <v>2360.83</v>
      </c>
      <c r="G83" s="157">
        <v>2338.6</v>
      </c>
      <c r="H83" s="101">
        <v>2349.63</v>
      </c>
      <c r="I83" s="101">
        <v>2605.3000000000002</v>
      </c>
      <c r="J83" s="101">
        <v>2631.86</v>
      </c>
      <c r="K83" s="101">
        <v>2580.61</v>
      </c>
      <c r="L83" s="101">
        <v>2625.93</v>
      </c>
      <c r="M83" s="101">
        <v>2678.81</v>
      </c>
      <c r="N83" s="158">
        <v>2629.95</v>
      </c>
      <c r="O83" s="61"/>
    </row>
    <row r="84" spans="1:15" s="13" customFormat="1" ht="15" customHeight="1" x14ac:dyDescent="0.2">
      <c r="A84" s="25"/>
      <c r="B84" s="90" t="s">
        <v>64</v>
      </c>
      <c r="C84" s="114">
        <v>1107.8800000000001</v>
      </c>
      <c r="D84" s="114">
        <v>1107.8800000000001</v>
      </c>
      <c r="E84" s="115">
        <v>1107.8800000000001</v>
      </c>
      <c r="F84" s="115">
        <v>1107.8800000000001</v>
      </c>
      <c r="G84" s="116">
        <v>1107.8800000000001</v>
      </c>
      <c r="H84" s="114">
        <v>1107.8800000000001</v>
      </c>
      <c r="I84" s="114">
        <v>1107.8800000000001</v>
      </c>
      <c r="J84" s="114">
        <v>1107.8800000000001</v>
      </c>
      <c r="K84" s="114">
        <v>1107.8800000000001</v>
      </c>
      <c r="L84" s="114">
        <v>1276.28</v>
      </c>
      <c r="M84" s="114">
        <v>1276.28</v>
      </c>
      <c r="N84" s="117">
        <v>1276.28</v>
      </c>
      <c r="O84" s="61"/>
    </row>
    <row r="85" spans="1:15" s="13" customFormat="1" ht="15" customHeight="1" x14ac:dyDescent="0.2">
      <c r="A85" s="29"/>
      <c r="B85" s="89" t="s">
        <v>9</v>
      </c>
      <c r="C85" s="114">
        <v>320.44</v>
      </c>
      <c r="D85" s="114">
        <v>320.44</v>
      </c>
      <c r="E85" s="115">
        <v>320.44</v>
      </c>
      <c r="F85" s="115">
        <v>320.44</v>
      </c>
      <c r="G85" s="116">
        <v>320.44</v>
      </c>
      <c r="H85" s="114">
        <v>320.44</v>
      </c>
      <c r="I85" s="114">
        <v>320.44</v>
      </c>
      <c r="J85" s="114">
        <v>320.44</v>
      </c>
      <c r="K85" s="114">
        <v>320.44</v>
      </c>
      <c r="L85" s="114">
        <v>364.99</v>
      </c>
      <c r="M85" s="114">
        <v>364.99</v>
      </c>
      <c r="N85" s="117">
        <v>364.99</v>
      </c>
      <c r="O85" s="61"/>
    </row>
    <row r="86" spans="1:15" s="13" customFormat="1" x14ac:dyDescent="0.2">
      <c r="A86" s="81"/>
      <c r="B86" s="91" t="s">
        <v>42</v>
      </c>
      <c r="C86" s="106">
        <v>5.3629999999999995</v>
      </c>
      <c r="D86" s="106">
        <v>5.3629999999999995</v>
      </c>
      <c r="E86" s="107">
        <v>5.3629999999999995</v>
      </c>
      <c r="F86" s="107">
        <v>5.3629999999999995</v>
      </c>
      <c r="G86" s="108">
        <v>5.3629999999999995</v>
      </c>
      <c r="H86" s="106">
        <v>5.3629999999999995</v>
      </c>
      <c r="I86" s="106">
        <v>5.3629999999999995</v>
      </c>
      <c r="J86" s="106">
        <v>5.3629999999999995</v>
      </c>
      <c r="K86" s="106">
        <v>5.3629999999999995</v>
      </c>
      <c r="L86" s="106">
        <v>6.1235300365250511</v>
      </c>
      <c r="M86" s="106">
        <v>6.1235300365250511</v>
      </c>
      <c r="N86" s="109">
        <v>6.1235300365250511</v>
      </c>
      <c r="O86" s="61"/>
    </row>
    <row r="87" spans="1:15" s="13" customFormat="1" ht="25.5" x14ac:dyDescent="0.2">
      <c r="A87" s="82"/>
      <c r="B87" s="87" t="s">
        <v>118</v>
      </c>
      <c r="C87" s="119">
        <f>SUM(C88:C89)</f>
        <v>1063691.4400000002</v>
      </c>
      <c r="D87" s="119">
        <f t="shared" ref="D87:N87" si="22">SUM(D88:D89)</f>
        <v>1007002.78</v>
      </c>
      <c r="E87" s="120">
        <f t="shared" si="22"/>
        <v>1062450.8899999999</v>
      </c>
      <c r="F87" s="120">
        <f t="shared" si="22"/>
        <v>1056190.19</v>
      </c>
      <c r="G87" s="119">
        <f t="shared" si="22"/>
        <v>1227142.22</v>
      </c>
      <c r="H87" s="119">
        <f t="shared" si="22"/>
        <v>1197387.5999999999</v>
      </c>
      <c r="I87" s="119">
        <f t="shared" si="22"/>
        <v>1200392.96</v>
      </c>
      <c r="J87" s="119">
        <f t="shared" si="22"/>
        <v>1192228.79</v>
      </c>
      <c r="K87" s="119">
        <f t="shared" si="22"/>
        <v>1192669.18</v>
      </c>
      <c r="L87" s="119">
        <f t="shared" si="22"/>
        <v>1225813.8399999999</v>
      </c>
      <c r="M87" s="119">
        <f t="shared" si="22"/>
        <v>1234126.6700000002</v>
      </c>
      <c r="N87" s="118">
        <f t="shared" si="22"/>
        <v>1233361.28</v>
      </c>
    </row>
    <row r="88" spans="1:15" s="13" customFormat="1" ht="25.5" x14ac:dyDescent="0.2">
      <c r="A88" s="178"/>
      <c r="B88" s="91" t="s">
        <v>116</v>
      </c>
      <c r="C88" s="146">
        <v>850.58</v>
      </c>
      <c r="D88" s="146">
        <v>1150.1400000000001</v>
      </c>
      <c r="E88" s="99">
        <v>1178.98</v>
      </c>
      <c r="F88" s="99">
        <v>1377.28</v>
      </c>
      <c r="G88" s="147">
        <v>1386.94</v>
      </c>
      <c r="H88" s="146">
        <v>1354.18</v>
      </c>
      <c r="I88" s="146">
        <v>1251.6600000000001</v>
      </c>
      <c r="J88" s="146">
        <v>1551.11</v>
      </c>
      <c r="K88" s="146">
        <v>1608.71</v>
      </c>
      <c r="L88" s="146">
        <v>1250.6400000000001</v>
      </c>
      <c r="M88" s="146">
        <v>1067.3599999999999</v>
      </c>
      <c r="N88" s="158">
        <v>1060.92</v>
      </c>
    </row>
    <row r="89" spans="1:15" s="13" customFormat="1" ht="25.5" x14ac:dyDescent="0.2">
      <c r="A89" s="178"/>
      <c r="B89" s="90" t="s">
        <v>117</v>
      </c>
      <c r="C89" s="196">
        <v>1062840.8600000001</v>
      </c>
      <c r="D89" s="196">
        <v>1005852.64</v>
      </c>
      <c r="E89" s="103">
        <v>1061271.9099999999</v>
      </c>
      <c r="F89" s="103">
        <v>1054812.9099999999</v>
      </c>
      <c r="G89" s="197">
        <v>1225755.28</v>
      </c>
      <c r="H89" s="196">
        <v>1196033.42</v>
      </c>
      <c r="I89" s="196">
        <v>1199141.3</v>
      </c>
      <c r="J89" s="196">
        <v>1190677.68</v>
      </c>
      <c r="K89" s="196">
        <v>1191060.47</v>
      </c>
      <c r="L89" s="196">
        <v>1224563.2</v>
      </c>
      <c r="M89" s="196">
        <v>1233059.31</v>
      </c>
      <c r="N89" s="148">
        <v>1232300.3600000001</v>
      </c>
    </row>
    <row r="90" spans="1:15" s="13" customFormat="1" ht="26.25" thickBot="1" x14ac:dyDescent="0.25">
      <c r="A90" s="84"/>
      <c r="B90" s="191" t="s">
        <v>65</v>
      </c>
      <c r="C90" s="128">
        <v>1697848.88</v>
      </c>
      <c r="D90" s="129">
        <v>1697848.88</v>
      </c>
      <c r="E90" s="130">
        <v>1697848.88</v>
      </c>
      <c r="F90" s="130">
        <v>1697848.88</v>
      </c>
      <c r="G90" s="131">
        <v>1697848.88</v>
      </c>
      <c r="H90" s="128">
        <v>1697848.88</v>
      </c>
      <c r="I90" s="129">
        <v>1697848.88</v>
      </c>
      <c r="J90" s="128">
        <v>1697848.88</v>
      </c>
      <c r="K90" s="129">
        <v>1697848.88</v>
      </c>
      <c r="L90" s="128">
        <v>2059490.69</v>
      </c>
      <c r="M90" s="129">
        <v>2059490.69</v>
      </c>
      <c r="N90" s="132">
        <v>2059490.69</v>
      </c>
    </row>
    <row r="91" spans="1:15" s="13" customFormat="1" ht="26.25" thickBot="1" x14ac:dyDescent="0.25">
      <c r="A91" s="36" t="s">
        <v>36</v>
      </c>
      <c r="B91" s="37" t="s">
        <v>11</v>
      </c>
      <c r="C91" s="20"/>
      <c r="D91" s="20"/>
      <c r="E91" s="21"/>
      <c r="F91" s="21"/>
      <c r="G91" s="66"/>
      <c r="H91" s="20"/>
      <c r="I91" s="20"/>
      <c r="J91" s="20"/>
      <c r="K91" s="20"/>
      <c r="L91" s="20"/>
      <c r="M91" s="20"/>
      <c r="N91" s="55"/>
    </row>
    <row r="92" spans="1:15" s="13" customFormat="1" ht="15" customHeight="1" x14ac:dyDescent="0.2">
      <c r="A92" s="85"/>
      <c r="B92" s="88" t="s">
        <v>61</v>
      </c>
      <c r="C92" s="159">
        <f>SUM(C93:C95)</f>
        <v>2516.5529999999999</v>
      </c>
      <c r="D92" s="159">
        <f t="shared" ref="D92:N92" si="23">SUM(D93:D95)</f>
        <v>2713.6329999999998</v>
      </c>
      <c r="E92" s="160">
        <f t="shared" si="23"/>
        <v>2722.3029999999999</v>
      </c>
      <c r="F92" s="160">
        <f t="shared" si="23"/>
        <v>2686.6329999999998</v>
      </c>
      <c r="G92" s="160">
        <f t="shared" si="23"/>
        <v>2664.4029999999998</v>
      </c>
      <c r="H92" s="160">
        <f t="shared" si="23"/>
        <v>2675.433</v>
      </c>
      <c r="I92" s="160">
        <f t="shared" si="23"/>
        <v>2931.1030000000001</v>
      </c>
      <c r="J92" s="160">
        <f t="shared" si="23"/>
        <v>2957.663</v>
      </c>
      <c r="K92" s="160">
        <f t="shared" si="23"/>
        <v>2906.413</v>
      </c>
      <c r="L92" s="160">
        <f t="shared" si="23"/>
        <v>2997.0435300365252</v>
      </c>
      <c r="M92" s="160">
        <f t="shared" si="23"/>
        <v>3049.9235300365253</v>
      </c>
      <c r="N92" s="161">
        <f t="shared" si="23"/>
        <v>3001.0635300365248</v>
      </c>
    </row>
    <row r="93" spans="1:15" s="13" customFormat="1" ht="15" customHeight="1" x14ac:dyDescent="0.2">
      <c r="A93" s="25"/>
      <c r="B93" s="89" t="s">
        <v>113</v>
      </c>
      <c r="C93" s="101">
        <f>C83</f>
        <v>2190.75</v>
      </c>
      <c r="D93" s="101">
        <f t="shared" ref="D93:N93" si="24">D83</f>
        <v>2387.83</v>
      </c>
      <c r="E93" s="102">
        <f t="shared" si="24"/>
        <v>2396.5</v>
      </c>
      <c r="F93" s="102">
        <f t="shared" si="24"/>
        <v>2360.83</v>
      </c>
      <c r="G93" s="157">
        <f t="shared" si="24"/>
        <v>2338.6</v>
      </c>
      <c r="H93" s="101">
        <f t="shared" si="24"/>
        <v>2349.63</v>
      </c>
      <c r="I93" s="101">
        <f t="shared" si="24"/>
        <v>2605.3000000000002</v>
      </c>
      <c r="J93" s="101">
        <f t="shared" si="24"/>
        <v>2631.86</v>
      </c>
      <c r="K93" s="101">
        <f t="shared" si="24"/>
        <v>2580.61</v>
      </c>
      <c r="L93" s="101">
        <f t="shared" si="24"/>
        <v>2625.93</v>
      </c>
      <c r="M93" s="101">
        <f t="shared" si="24"/>
        <v>2678.81</v>
      </c>
      <c r="N93" s="158">
        <f t="shared" si="24"/>
        <v>2629.95</v>
      </c>
    </row>
    <row r="94" spans="1:15" s="13" customFormat="1" ht="15" customHeight="1" x14ac:dyDescent="0.2">
      <c r="A94" s="40"/>
      <c r="B94" s="90" t="s">
        <v>9</v>
      </c>
      <c r="C94" s="114">
        <f t="shared" ref="C94:N95" si="25">C85</f>
        <v>320.44</v>
      </c>
      <c r="D94" s="114">
        <f t="shared" si="25"/>
        <v>320.44</v>
      </c>
      <c r="E94" s="115">
        <f t="shared" si="25"/>
        <v>320.44</v>
      </c>
      <c r="F94" s="115">
        <f t="shared" si="25"/>
        <v>320.44</v>
      </c>
      <c r="G94" s="121">
        <f t="shared" si="25"/>
        <v>320.44</v>
      </c>
      <c r="H94" s="115">
        <f t="shared" si="25"/>
        <v>320.44</v>
      </c>
      <c r="I94" s="115">
        <f t="shared" si="25"/>
        <v>320.44</v>
      </c>
      <c r="J94" s="115">
        <f t="shared" si="25"/>
        <v>320.44</v>
      </c>
      <c r="K94" s="115">
        <f t="shared" si="25"/>
        <v>320.44</v>
      </c>
      <c r="L94" s="115">
        <f t="shared" si="25"/>
        <v>364.99</v>
      </c>
      <c r="M94" s="115">
        <f t="shared" si="25"/>
        <v>364.99</v>
      </c>
      <c r="N94" s="122">
        <f t="shared" si="25"/>
        <v>364.99</v>
      </c>
    </row>
    <row r="95" spans="1:15" s="13" customFormat="1" ht="15" customHeight="1" x14ac:dyDescent="0.2">
      <c r="A95" s="81"/>
      <c r="B95" s="91" t="s">
        <v>42</v>
      </c>
      <c r="C95" s="106">
        <f>C86</f>
        <v>5.3629999999999995</v>
      </c>
      <c r="D95" s="106">
        <f t="shared" si="25"/>
        <v>5.3629999999999995</v>
      </c>
      <c r="E95" s="107">
        <f t="shared" si="25"/>
        <v>5.3629999999999995</v>
      </c>
      <c r="F95" s="107">
        <f t="shared" si="25"/>
        <v>5.3629999999999995</v>
      </c>
      <c r="G95" s="108">
        <f t="shared" si="25"/>
        <v>5.3629999999999995</v>
      </c>
      <c r="H95" s="106">
        <f t="shared" si="25"/>
        <v>5.3629999999999995</v>
      </c>
      <c r="I95" s="106">
        <f t="shared" si="25"/>
        <v>5.3629999999999995</v>
      </c>
      <c r="J95" s="106">
        <f t="shared" si="25"/>
        <v>5.3629999999999995</v>
      </c>
      <c r="K95" s="106">
        <f t="shared" si="25"/>
        <v>5.3629999999999995</v>
      </c>
      <c r="L95" s="106">
        <f t="shared" si="25"/>
        <v>6.1235300365250511</v>
      </c>
      <c r="M95" s="106">
        <f t="shared" si="25"/>
        <v>6.1235300365250511</v>
      </c>
      <c r="N95" s="109">
        <f t="shared" si="25"/>
        <v>6.1235300365250511</v>
      </c>
    </row>
    <row r="96" spans="1:15" s="13" customFormat="1" ht="25.5" x14ac:dyDescent="0.2">
      <c r="A96" s="81"/>
      <c r="B96" s="87" t="s">
        <v>118</v>
      </c>
      <c r="C96" s="119">
        <f>SUM(C97:C98)</f>
        <v>1063691.4400000002</v>
      </c>
      <c r="D96" s="119">
        <f t="shared" ref="D96:N96" si="26">SUM(D97:D98)</f>
        <v>1007002.78</v>
      </c>
      <c r="E96" s="120">
        <f t="shared" si="26"/>
        <v>1062450.8899999999</v>
      </c>
      <c r="F96" s="120">
        <f t="shared" si="26"/>
        <v>1056190.19</v>
      </c>
      <c r="G96" s="119">
        <f t="shared" si="26"/>
        <v>1227142.22</v>
      </c>
      <c r="H96" s="119">
        <f t="shared" si="26"/>
        <v>1197387.5999999999</v>
      </c>
      <c r="I96" s="119">
        <f t="shared" si="26"/>
        <v>1200392.96</v>
      </c>
      <c r="J96" s="119">
        <f t="shared" si="26"/>
        <v>1192228.79</v>
      </c>
      <c r="K96" s="119">
        <f t="shared" si="26"/>
        <v>1192669.18</v>
      </c>
      <c r="L96" s="119">
        <f t="shared" si="26"/>
        <v>1225813.8399999999</v>
      </c>
      <c r="M96" s="119">
        <f t="shared" si="26"/>
        <v>1234126.6700000002</v>
      </c>
      <c r="N96" s="127">
        <f t="shared" si="26"/>
        <v>1233361.28</v>
      </c>
    </row>
    <row r="97" spans="1:15" s="13" customFormat="1" ht="25.5" x14ac:dyDescent="0.2">
      <c r="A97" s="81"/>
      <c r="B97" s="91" t="s">
        <v>116</v>
      </c>
      <c r="C97" s="146">
        <v>850.58</v>
      </c>
      <c r="D97" s="146">
        <v>1150.1400000000001</v>
      </c>
      <c r="E97" s="99">
        <v>1178.98</v>
      </c>
      <c r="F97" s="99">
        <v>1377.28</v>
      </c>
      <c r="G97" s="147">
        <v>1386.94</v>
      </c>
      <c r="H97" s="146">
        <v>1354.18</v>
      </c>
      <c r="I97" s="146">
        <v>1251.6600000000001</v>
      </c>
      <c r="J97" s="146">
        <v>1551.11</v>
      </c>
      <c r="K97" s="146">
        <v>1608.71</v>
      </c>
      <c r="L97" s="146">
        <v>1250.6400000000001</v>
      </c>
      <c r="M97" s="146">
        <v>1067.3599999999999</v>
      </c>
      <c r="N97" s="158">
        <v>1060.92</v>
      </c>
    </row>
    <row r="98" spans="1:15" s="13" customFormat="1" ht="26.25" thickBot="1" x14ac:dyDescent="0.25">
      <c r="A98" s="32"/>
      <c r="B98" s="186" t="s">
        <v>117</v>
      </c>
      <c r="C98" s="194">
        <v>1062840.8600000001</v>
      </c>
      <c r="D98" s="194">
        <v>1005852.64</v>
      </c>
      <c r="E98" s="173">
        <v>1061271.9099999999</v>
      </c>
      <c r="F98" s="173">
        <v>1054812.9099999999</v>
      </c>
      <c r="G98" s="195">
        <v>1225755.28</v>
      </c>
      <c r="H98" s="194">
        <v>1196033.42</v>
      </c>
      <c r="I98" s="194">
        <v>1199141.3</v>
      </c>
      <c r="J98" s="194">
        <v>1190677.68</v>
      </c>
      <c r="K98" s="194">
        <v>1191060.47</v>
      </c>
      <c r="L98" s="194">
        <v>1224563.2</v>
      </c>
      <c r="M98" s="194">
        <v>1233059.31</v>
      </c>
      <c r="N98" s="188">
        <v>1232300.3600000001</v>
      </c>
    </row>
    <row r="99" spans="1:15" ht="15" customHeight="1" x14ac:dyDescent="0.2"/>
    <row r="100" spans="1:15" ht="15" customHeight="1" x14ac:dyDescent="0.2"/>
    <row r="101" spans="1:15" ht="93" customHeight="1" x14ac:dyDescent="0.2">
      <c r="A101" s="200" t="s">
        <v>114</v>
      </c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69"/>
    </row>
    <row r="102" spans="1:15" ht="30" customHeight="1" x14ac:dyDescent="0.2">
      <c r="A102" s="199" t="s">
        <v>115</v>
      </c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</row>
  </sheetData>
  <mergeCells count="11">
    <mergeCell ref="D34:N34"/>
    <mergeCell ref="D57:N57"/>
    <mergeCell ref="D80:N80"/>
    <mergeCell ref="A101:N101"/>
    <mergeCell ref="A102:N102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29697" r:id="rId4">
          <objectPr defaultSize="0" autoPict="0" r:id="rId5">
            <anchor moveWithCells="1" sizeWithCells="1">
              <from>
                <xdr:col>1</xdr:col>
                <xdr:colOff>0</xdr:colOff>
                <xdr:row>99</xdr:row>
                <xdr:rowOff>0</xdr:rowOff>
              </from>
              <to>
                <xdr:col>1</xdr:col>
                <xdr:colOff>142875</xdr:colOff>
                <xdr:row>99</xdr:row>
                <xdr:rowOff>0</xdr:rowOff>
              </to>
            </anchor>
          </objectPr>
        </oleObject>
      </mc:Choice>
      <mc:Fallback>
        <oleObject progId="Equation.3" shapeId="29697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5">
    <tabColor rgb="FFFFFF00"/>
  </sheetPr>
  <dimension ref="A1:O9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102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5" s="58" customFormat="1" ht="34.5" customHeight="1" x14ac:dyDescent="0.25">
      <c r="A7" s="206" t="s">
        <v>60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137"/>
      <c r="C8" s="137"/>
      <c r="D8" s="137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85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135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4.25" customHeight="1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4.25" customHeight="1" x14ac:dyDescent="0.2">
      <c r="A13" s="80"/>
      <c r="B13" s="86" t="s">
        <v>61</v>
      </c>
      <c r="C13" s="155">
        <f>SUM(C14:C17)</f>
        <v>4406.1930000000002</v>
      </c>
      <c r="D13" s="155">
        <f t="shared" ref="D13:N13" si="0">SUM(D14:D17)</f>
        <v>4603.2730000000001</v>
      </c>
      <c r="E13" s="156">
        <f t="shared" si="0"/>
        <v>4611.9430000000002</v>
      </c>
      <c r="F13" s="156">
        <f t="shared" si="0"/>
        <v>4576.2730000000001</v>
      </c>
      <c r="G13" s="156">
        <f t="shared" si="0"/>
        <v>4554.0429999999997</v>
      </c>
      <c r="H13" s="156">
        <f t="shared" si="0"/>
        <v>4565.0730000000003</v>
      </c>
      <c r="I13" s="156">
        <f t="shared" si="0"/>
        <v>4820.7430000000004</v>
      </c>
      <c r="J13" s="156">
        <f t="shared" si="0"/>
        <v>4847.3029999999999</v>
      </c>
      <c r="K13" s="156">
        <f t="shared" si="0"/>
        <v>4796.0529999999999</v>
      </c>
      <c r="L13" s="156">
        <f t="shared" si="0"/>
        <v>5144.8435300365254</v>
      </c>
      <c r="M13" s="156">
        <f t="shared" si="0"/>
        <v>5197.7235300365246</v>
      </c>
      <c r="N13" s="156">
        <f t="shared" si="0"/>
        <v>5148.8635300365249</v>
      </c>
      <c r="O13" s="61"/>
    </row>
    <row r="14" spans="1:15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8</v>
      </c>
      <c r="C15" s="146">
        <v>1992.63</v>
      </c>
      <c r="D15" s="146">
        <v>1992.63</v>
      </c>
      <c r="E15" s="99">
        <v>1992.63</v>
      </c>
      <c r="F15" s="99">
        <v>1992.63</v>
      </c>
      <c r="G15" s="147">
        <v>1992.63</v>
      </c>
      <c r="H15" s="146">
        <v>1992.63</v>
      </c>
      <c r="I15" s="146">
        <v>1992.63</v>
      </c>
      <c r="J15" s="146">
        <v>1992.63</v>
      </c>
      <c r="K15" s="146">
        <v>1992.63</v>
      </c>
      <c r="L15" s="146">
        <v>2232.17</v>
      </c>
      <c r="M15" s="146">
        <v>2232.17</v>
      </c>
      <c r="N15" s="148">
        <v>2232.17</v>
      </c>
      <c r="O15" s="61"/>
    </row>
    <row r="16" spans="1:15" s="13" customFormat="1" ht="15" customHeight="1" x14ac:dyDescent="0.2">
      <c r="A16" s="29"/>
      <c r="B16" s="89" t="s">
        <v>9</v>
      </c>
      <c r="C16" s="114">
        <v>217.45000000000002</v>
      </c>
      <c r="D16" s="114">
        <v>217.45000000000002</v>
      </c>
      <c r="E16" s="115">
        <v>217.45000000000002</v>
      </c>
      <c r="F16" s="115">
        <v>217.45000000000002</v>
      </c>
      <c r="G16" s="116">
        <v>217.45000000000002</v>
      </c>
      <c r="H16" s="114">
        <v>217.45000000000002</v>
      </c>
      <c r="I16" s="114">
        <v>217.45000000000002</v>
      </c>
      <c r="J16" s="114">
        <v>217.45000000000002</v>
      </c>
      <c r="K16" s="114">
        <v>217.45000000000002</v>
      </c>
      <c r="L16" s="114">
        <v>280.62</v>
      </c>
      <c r="M16" s="114">
        <v>280.62</v>
      </c>
      <c r="N16" s="117">
        <v>280.62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82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9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18">
        <f t="shared" si="1"/>
        <v>1233361.28</v>
      </c>
      <c r="O18" s="61"/>
    </row>
    <row r="19" spans="1:15" s="13" customFormat="1" ht="25.5" x14ac:dyDescent="0.2">
      <c r="A19" s="178"/>
      <c r="B19" s="91" t="s">
        <v>116</v>
      </c>
      <c r="C19" s="146">
        <v>850.58</v>
      </c>
      <c r="D19" s="146">
        <v>1150.1400000000001</v>
      </c>
      <c r="E19" s="99">
        <v>1178.98</v>
      </c>
      <c r="F19" s="99">
        <v>1377.28</v>
      </c>
      <c r="G19" s="147">
        <v>1386.94</v>
      </c>
      <c r="H19" s="146">
        <v>1354.18</v>
      </c>
      <c r="I19" s="146">
        <v>1251.6600000000001</v>
      </c>
      <c r="J19" s="146">
        <v>1551.11</v>
      </c>
      <c r="K19" s="146">
        <v>1608.71</v>
      </c>
      <c r="L19" s="146">
        <v>1250.6400000000001</v>
      </c>
      <c r="M19" s="146">
        <v>1067.3599999999999</v>
      </c>
      <c r="N19" s="158">
        <v>1060.92</v>
      </c>
      <c r="O19" s="61"/>
    </row>
    <row r="20" spans="1:15" s="13" customFormat="1" ht="26.25" thickBot="1" x14ac:dyDescent="0.25">
      <c r="A20" s="178"/>
      <c r="B20" s="90" t="s">
        <v>117</v>
      </c>
      <c r="C20" s="101">
        <v>1062840.8600000001</v>
      </c>
      <c r="D20" s="101">
        <v>1005852.64</v>
      </c>
      <c r="E20" s="102">
        <v>1061271.9099999999</v>
      </c>
      <c r="F20" s="102">
        <v>1054812.9099999999</v>
      </c>
      <c r="G20" s="157">
        <v>1225755.28</v>
      </c>
      <c r="H20" s="101">
        <v>1196033.42</v>
      </c>
      <c r="I20" s="101">
        <v>1199141.3</v>
      </c>
      <c r="J20" s="101">
        <v>1190677.68</v>
      </c>
      <c r="K20" s="101">
        <v>1191060.47</v>
      </c>
      <c r="L20" s="101">
        <v>1224563.2</v>
      </c>
      <c r="M20" s="101">
        <v>1233059.31</v>
      </c>
      <c r="N20" s="148">
        <v>1232300.3600000001</v>
      </c>
      <c r="O20" s="61"/>
    </row>
    <row r="21" spans="1:15" s="13" customFormat="1" ht="26.25" thickBot="1" x14ac:dyDescent="0.25">
      <c r="A21" s="36" t="s">
        <v>10</v>
      </c>
      <c r="B21" s="37" t="s">
        <v>11</v>
      </c>
      <c r="C21" s="20"/>
      <c r="D21" s="20"/>
      <c r="E21" s="21"/>
      <c r="F21" s="21"/>
      <c r="G21" s="66"/>
      <c r="H21" s="20"/>
      <c r="I21" s="20"/>
      <c r="J21" s="20"/>
      <c r="K21" s="20"/>
      <c r="L21" s="20"/>
      <c r="M21" s="20"/>
      <c r="N21" s="55"/>
      <c r="O21" s="61"/>
    </row>
    <row r="22" spans="1:15" s="13" customFormat="1" ht="14.25" customHeight="1" x14ac:dyDescent="0.2">
      <c r="A22" s="85"/>
      <c r="B22" s="88" t="s">
        <v>61</v>
      </c>
      <c r="C22" s="159">
        <f>SUM(C23:C25)</f>
        <v>2413.5629999999996</v>
      </c>
      <c r="D22" s="159">
        <f t="shared" ref="D22:N22" si="2">SUM(D23:D25)</f>
        <v>2610.6429999999996</v>
      </c>
      <c r="E22" s="160">
        <f t="shared" si="2"/>
        <v>2619.3129999999996</v>
      </c>
      <c r="F22" s="160">
        <f t="shared" si="2"/>
        <v>2583.6429999999996</v>
      </c>
      <c r="G22" s="160">
        <f t="shared" si="2"/>
        <v>2561.4129999999996</v>
      </c>
      <c r="H22" s="160">
        <f t="shared" si="2"/>
        <v>2572.4429999999998</v>
      </c>
      <c r="I22" s="160">
        <f t="shared" si="2"/>
        <v>2828.1129999999998</v>
      </c>
      <c r="J22" s="160">
        <f t="shared" si="2"/>
        <v>2854.6729999999998</v>
      </c>
      <c r="K22" s="160">
        <f t="shared" si="2"/>
        <v>2803.4229999999998</v>
      </c>
      <c r="L22" s="160">
        <f t="shared" si="2"/>
        <v>2912.6735300365249</v>
      </c>
      <c r="M22" s="160">
        <f t="shared" si="2"/>
        <v>2965.553530036525</v>
      </c>
      <c r="N22" s="161">
        <f t="shared" si="2"/>
        <v>2916.6935300365249</v>
      </c>
      <c r="O22" s="61"/>
    </row>
    <row r="23" spans="1:15" s="13" customFormat="1" x14ac:dyDescent="0.2">
      <c r="A23" s="25"/>
      <c r="B23" s="89" t="s">
        <v>113</v>
      </c>
      <c r="C23" s="101">
        <f t="shared" ref="C23:N23" si="3">C14</f>
        <v>2190.75</v>
      </c>
      <c r="D23" s="101">
        <f t="shared" si="3"/>
        <v>2387.83</v>
      </c>
      <c r="E23" s="102">
        <f t="shared" si="3"/>
        <v>2396.5</v>
      </c>
      <c r="F23" s="102">
        <f t="shared" si="3"/>
        <v>2360.83</v>
      </c>
      <c r="G23" s="157">
        <f t="shared" si="3"/>
        <v>2338.6</v>
      </c>
      <c r="H23" s="101">
        <f t="shared" si="3"/>
        <v>2349.63</v>
      </c>
      <c r="I23" s="101">
        <f t="shared" si="3"/>
        <v>2605.3000000000002</v>
      </c>
      <c r="J23" s="101">
        <f t="shared" si="3"/>
        <v>2631.86</v>
      </c>
      <c r="K23" s="101">
        <f t="shared" si="3"/>
        <v>2580.61</v>
      </c>
      <c r="L23" s="101">
        <f t="shared" si="3"/>
        <v>2625.93</v>
      </c>
      <c r="M23" s="101">
        <f t="shared" si="3"/>
        <v>2678.81</v>
      </c>
      <c r="N23" s="158">
        <f t="shared" si="3"/>
        <v>2629.95</v>
      </c>
    </row>
    <row r="24" spans="1:15" s="13" customFormat="1" x14ac:dyDescent="0.2">
      <c r="A24" s="40"/>
      <c r="B24" s="90" t="s">
        <v>9</v>
      </c>
      <c r="C24" s="114">
        <f t="shared" ref="C24:N24" si="4">C16</f>
        <v>217.45000000000002</v>
      </c>
      <c r="D24" s="114">
        <f t="shared" si="4"/>
        <v>217.45000000000002</v>
      </c>
      <c r="E24" s="115">
        <f t="shared" si="4"/>
        <v>217.45000000000002</v>
      </c>
      <c r="F24" s="115">
        <f t="shared" si="4"/>
        <v>217.45000000000002</v>
      </c>
      <c r="G24" s="121">
        <f t="shared" si="4"/>
        <v>217.45000000000002</v>
      </c>
      <c r="H24" s="115">
        <f t="shared" si="4"/>
        <v>217.45000000000002</v>
      </c>
      <c r="I24" s="115">
        <f t="shared" si="4"/>
        <v>217.45000000000002</v>
      </c>
      <c r="J24" s="115">
        <f t="shared" si="4"/>
        <v>217.45000000000002</v>
      </c>
      <c r="K24" s="115">
        <f t="shared" si="4"/>
        <v>217.45000000000002</v>
      </c>
      <c r="L24" s="115">
        <f t="shared" si="4"/>
        <v>280.62</v>
      </c>
      <c r="M24" s="115">
        <f t="shared" si="4"/>
        <v>280.62</v>
      </c>
      <c r="N24" s="122">
        <f t="shared" si="4"/>
        <v>280.62</v>
      </c>
    </row>
    <row r="25" spans="1:15" s="13" customFormat="1" x14ac:dyDescent="0.2">
      <c r="A25" s="81"/>
      <c r="B25" s="91" t="s">
        <v>42</v>
      </c>
      <c r="C25" s="106">
        <f t="shared" ref="C25:N25" si="5">C17</f>
        <v>5.3629999999999995</v>
      </c>
      <c r="D25" s="106">
        <f t="shared" si="5"/>
        <v>5.3629999999999995</v>
      </c>
      <c r="E25" s="107">
        <f t="shared" si="5"/>
        <v>5.3629999999999995</v>
      </c>
      <c r="F25" s="107">
        <f t="shared" si="5"/>
        <v>5.3629999999999995</v>
      </c>
      <c r="G25" s="108">
        <f t="shared" si="5"/>
        <v>5.3629999999999995</v>
      </c>
      <c r="H25" s="106">
        <f t="shared" si="5"/>
        <v>5.3629999999999995</v>
      </c>
      <c r="I25" s="106">
        <f t="shared" si="5"/>
        <v>5.3629999999999995</v>
      </c>
      <c r="J25" s="106">
        <f t="shared" si="5"/>
        <v>5.3629999999999995</v>
      </c>
      <c r="K25" s="106">
        <f t="shared" si="5"/>
        <v>5.3629999999999995</v>
      </c>
      <c r="L25" s="106">
        <f t="shared" si="5"/>
        <v>6.1235300365250511</v>
      </c>
      <c r="M25" s="106">
        <f t="shared" si="5"/>
        <v>6.1235300365250511</v>
      </c>
      <c r="N25" s="109">
        <f t="shared" si="5"/>
        <v>6.1235300365250511</v>
      </c>
    </row>
    <row r="26" spans="1:15" s="13" customFormat="1" ht="25.5" x14ac:dyDescent="0.2">
      <c r="A26" s="81"/>
      <c r="B26" s="87" t="s">
        <v>118</v>
      </c>
      <c r="C26" s="119">
        <f>SUM(C27:C28)</f>
        <v>1063691.4400000002</v>
      </c>
      <c r="D26" s="119">
        <f t="shared" ref="D26:N26" si="6">SUM(D27:D28)</f>
        <v>1007002.78</v>
      </c>
      <c r="E26" s="120">
        <f t="shared" si="6"/>
        <v>1062450.8899999999</v>
      </c>
      <c r="F26" s="120">
        <f t="shared" si="6"/>
        <v>1056190.19</v>
      </c>
      <c r="G26" s="119">
        <f t="shared" si="6"/>
        <v>1227142.22</v>
      </c>
      <c r="H26" s="119">
        <f t="shared" si="6"/>
        <v>1197387.5999999999</v>
      </c>
      <c r="I26" s="119">
        <f t="shared" si="6"/>
        <v>1200392.96</v>
      </c>
      <c r="J26" s="119">
        <f t="shared" si="6"/>
        <v>1192228.79</v>
      </c>
      <c r="K26" s="119">
        <f t="shared" si="6"/>
        <v>1192669.18</v>
      </c>
      <c r="L26" s="119">
        <f t="shared" si="6"/>
        <v>1225813.8399999999</v>
      </c>
      <c r="M26" s="119">
        <f t="shared" si="6"/>
        <v>1234126.6700000002</v>
      </c>
      <c r="N26" s="127">
        <f t="shared" si="6"/>
        <v>1233361.28</v>
      </c>
    </row>
    <row r="27" spans="1:15" s="13" customFormat="1" ht="25.5" x14ac:dyDescent="0.2">
      <c r="A27" s="81"/>
      <c r="B27" s="91" t="s">
        <v>116</v>
      </c>
      <c r="C27" s="146">
        <v>850.58</v>
      </c>
      <c r="D27" s="146">
        <v>1150.1400000000001</v>
      </c>
      <c r="E27" s="99">
        <v>1178.98</v>
      </c>
      <c r="F27" s="99">
        <v>1377.28</v>
      </c>
      <c r="G27" s="147">
        <v>1386.94</v>
      </c>
      <c r="H27" s="146">
        <v>1354.18</v>
      </c>
      <c r="I27" s="146">
        <v>1251.6600000000001</v>
      </c>
      <c r="J27" s="146">
        <v>1551.11</v>
      </c>
      <c r="K27" s="146">
        <v>1608.71</v>
      </c>
      <c r="L27" s="146">
        <v>1250.6400000000001</v>
      </c>
      <c r="M27" s="146">
        <v>1067.3599999999999</v>
      </c>
      <c r="N27" s="158">
        <v>1060.92</v>
      </c>
    </row>
    <row r="28" spans="1:15" s="13" customFormat="1" ht="26.25" thickBot="1" x14ac:dyDescent="0.25">
      <c r="A28" s="32"/>
      <c r="B28" s="186" t="s">
        <v>117</v>
      </c>
      <c r="C28" s="194">
        <v>1062840.8600000001</v>
      </c>
      <c r="D28" s="194">
        <v>1005852.64</v>
      </c>
      <c r="E28" s="173">
        <v>1061271.9099999999</v>
      </c>
      <c r="F28" s="173">
        <v>1054812.9099999999</v>
      </c>
      <c r="G28" s="195">
        <v>1225755.28</v>
      </c>
      <c r="H28" s="194">
        <v>1196033.42</v>
      </c>
      <c r="I28" s="194">
        <v>1199141.3</v>
      </c>
      <c r="J28" s="194">
        <v>1190677.68</v>
      </c>
      <c r="K28" s="194">
        <v>1191060.47</v>
      </c>
      <c r="L28" s="194">
        <v>1224563.2</v>
      </c>
      <c r="M28" s="194">
        <v>1233059.31</v>
      </c>
      <c r="N28" s="188">
        <v>1232300.3600000001</v>
      </c>
    </row>
    <row r="30" spans="1:15" ht="15" customHeight="1" x14ac:dyDescent="0.2"/>
    <row r="31" spans="1:15" s="59" customFormat="1" ht="21" customHeight="1" thickBot="1" x14ac:dyDescent="0.25">
      <c r="A31" s="7" t="s">
        <v>84</v>
      </c>
      <c r="B31" s="7"/>
      <c r="C31" s="7"/>
      <c r="D31" s="7"/>
      <c r="E31" s="7"/>
      <c r="F31" s="7"/>
      <c r="G31" s="5"/>
      <c r="H31" s="5"/>
      <c r="I31" s="5"/>
      <c r="J31" s="5"/>
      <c r="K31" s="5"/>
      <c r="L31" s="6"/>
      <c r="M31" s="6"/>
      <c r="N31" s="6"/>
    </row>
    <row r="32" spans="1:15" s="13" customFormat="1" ht="24" customHeight="1" thickBot="1" x14ac:dyDescent="0.25">
      <c r="A32" s="49" t="s">
        <v>0</v>
      </c>
      <c r="B32" s="50" t="s">
        <v>1</v>
      </c>
      <c r="C32" s="51" t="s">
        <v>17</v>
      </c>
      <c r="D32" s="51" t="s">
        <v>18</v>
      </c>
      <c r="E32" s="51" t="s">
        <v>19</v>
      </c>
      <c r="F32" s="51" t="s">
        <v>20</v>
      </c>
      <c r="G32" s="51" t="s">
        <v>21</v>
      </c>
      <c r="H32" s="51" t="s">
        <v>22</v>
      </c>
      <c r="I32" s="51" t="s">
        <v>23</v>
      </c>
      <c r="J32" s="51" t="s">
        <v>24</v>
      </c>
      <c r="K32" s="51" t="s">
        <v>25</v>
      </c>
      <c r="L32" s="51" t="s">
        <v>26</v>
      </c>
      <c r="M32" s="51" t="s">
        <v>27</v>
      </c>
      <c r="N32" s="52" t="s">
        <v>28</v>
      </c>
    </row>
    <row r="33" spans="1:15" s="17" customFormat="1" ht="21" customHeight="1" thickBot="1" x14ac:dyDescent="0.25">
      <c r="A33" s="14" t="s">
        <v>14</v>
      </c>
      <c r="B33" s="15" t="s">
        <v>5</v>
      </c>
      <c r="C33" s="135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2"/>
      <c r="O33" s="44"/>
    </row>
    <row r="34" spans="1:15" s="17" customFormat="1" ht="14.25" customHeight="1" thickBot="1" x14ac:dyDescent="0.25">
      <c r="A34" s="18" t="s">
        <v>15</v>
      </c>
      <c r="B34" s="78" t="s">
        <v>7</v>
      </c>
      <c r="C34" s="20"/>
      <c r="D34" s="20"/>
      <c r="E34" s="21"/>
      <c r="F34" s="21"/>
      <c r="G34" s="63"/>
      <c r="H34" s="21"/>
      <c r="I34" s="21"/>
      <c r="J34" s="21"/>
      <c r="K34" s="21"/>
      <c r="L34" s="21"/>
      <c r="M34" s="21"/>
      <c r="N34" s="22"/>
      <c r="O34" s="61"/>
    </row>
    <row r="35" spans="1:15" s="13" customFormat="1" ht="14.25" customHeight="1" x14ac:dyDescent="0.2">
      <c r="A35" s="80"/>
      <c r="B35" s="86" t="s">
        <v>61</v>
      </c>
      <c r="C35" s="155">
        <f>SUM(C36:C39)</f>
        <v>5189.1730000000007</v>
      </c>
      <c r="D35" s="155">
        <f t="shared" ref="D35:N35" si="7">SUM(D36:D39)</f>
        <v>5386.2530000000006</v>
      </c>
      <c r="E35" s="156">
        <f t="shared" si="7"/>
        <v>5394.9230000000007</v>
      </c>
      <c r="F35" s="156">
        <f t="shared" si="7"/>
        <v>5359.2530000000006</v>
      </c>
      <c r="G35" s="156">
        <f t="shared" si="7"/>
        <v>5337.0230000000001</v>
      </c>
      <c r="H35" s="156">
        <f t="shared" si="7"/>
        <v>5348.0529999999999</v>
      </c>
      <c r="I35" s="156">
        <f t="shared" si="7"/>
        <v>5603.723</v>
      </c>
      <c r="J35" s="156">
        <f t="shared" si="7"/>
        <v>5630.2830000000004</v>
      </c>
      <c r="K35" s="156">
        <f t="shared" si="7"/>
        <v>5579.0330000000004</v>
      </c>
      <c r="L35" s="156">
        <f t="shared" si="7"/>
        <v>6254.5035300365253</v>
      </c>
      <c r="M35" s="156">
        <f t="shared" si="7"/>
        <v>6307.3835300365245</v>
      </c>
      <c r="N35" s="156">
        <f t="shared" si="7"/>
        <v>6258.5235300365248</v>
      </c>
      <c r="O35" s="61"/>
    </row>
    <row r="36" spans="1:15" s="13" customFormat="1" ht="15" customHeight="1" x14ac:dyDescent="0.2">
      <c r="A36" s="29"/>
      <c r="B36" s="89" t="s">
        <v>113</v>
      </c>
      <c r="C36" s="101">
        <v>2190.75</v>
      </c>
      <c r="D36" s="101">
        <v>2387.83</v>
      </c>
      <c r="E36" s="102">
        <v>2396.5</v>
      </c>
      <c r="F36" s="102">
        <v>2360.83</v>
      </c>
      <c r="G36" s="157">
        <v>2338.6</v>
      </c>
      <c r="H36" s="101">
        <v>2349.63</v>
      </c>
      <c r="I36" s="101">
        <v>2605.3000000000002</v>
      </c>
      <c r="J36" s="101">
        <v>2631.86</v>
      </c>
      <c r="K36" s="101">
        <v>2580.61</v>
      </c>
      <c r="L36" s="101">
        <v>2625.93</v>
      </c>
      <c r="M36" s="101">
        <v>2678.81</v>
      </c>
      <c r="N36" s="158">
        <v>2629.95</v>
      </c>
      <c r="O36" s="61"/>
    </row>
    <row r="37" spans="1:15" s="13" customFormat="1" ht="15" customHeight="1" x14ac:dyDescent="0.2">
      <c r="A37" s="25"/>
      <c r="B37" s="90" t="s">
        <v>8</v>
      </c>
      <c r="C37" s="146">
        <v>2775.61</v>
      </c>
      <c r="D37" s="146">
        <v>2775.61</v>
      </c>
      <c r="E37" s="99">
        <v>2775.61</v>
      </c>
      <c r="F37" s="99">
        <v>2775.61</v>
      </c>
      <c r="G37" s="147">
        <v>2775.61</v>
      </c>
      <c r="H37" s="146">
        <v>2775.61</v>
      </c>
      <c r="I37" s="146">
        <v>2775.61</v>
      </c>
      <c r="J37" s="146">
        <v>2775.61</v>
      </c>
      <c r="K37" s="146">
        <v>2775.61</v>
      </c>
      <c r="L37" s="146">
        <v>3341.83</v>
      </c>
      <c r="M37" s="146">
        <v>3341.83</v>
      </c>
      <c r="N37" s="148">
        <v>3341.83</v>
      </c>
      <c r="O37" s="61"/>
    </row>
    <row r="38" spans="1:15" s="13" customFormat="1" ht="15" customHeight="1" x14ac:dyDescent="0.2">
      <c r="A38" s="29"/>
      <c r="B38" s="89" t="s">
        <v>9</v>
      </c>
      <c r="C38" s="114">
        <v>217.45000000000002</v>
      </c>
      <c r="D38" s="114">
        <v>217.45000000000002</v>
      </c>
      <c r="E38" s="115">
        <v>217.45000000000002</v>
      </c>
      <c r="F38" s="115">
        <v>217.45000000000002</v>
      </c>
      <c r="G38" s="116">
        <v>217.45000000000002</v>
      </c>
      <c r="H38" s="114">
        <v>217.45000000000002</v>
      </c>
      <c r="I38" s="114">
        <v>217.45000000000002</v>
      </c>
      <c r="J38" s="114">
        <v>217.45000000000002</v>
      </c>
      <c r="K38" s="114">
        <v>217.45000000000002</v>
      </c>
      <c r="L38" s="114">
        <v>280.62</v>
      </c>
      <c r="M38" s="114">
        <v>280.62</v>
      </c>
      <c r="N38" s="117">
        <v>280.62</v>
      </c>
      <c r="O38" s="61"/>
    </row>
    <row r="39" spans="1:15" s="13" customFormat="1" x14ac:dyDescent="0.2">
      <c r="A39" s="81"/>
      <c r="B39" s="91" t="s">
        <v>42</v>
      </c>
      <c r="C39" s="106">
        <v>5.3629999999999995</v>
      </c>
      <c r="D39" s="106">
        <v>5.3629999999999995</v>
      </c>
      <c r="E39" s="107">
        <v>5.3629999999999995</v>
      </c>
      <c r="F39" s="107">
        <v>5.3629999999999995</v>
      </c>
      <c r="G39" s="108">
        <v>5.3629999999999995</v>
      </c>
      <c r="H39" s="106">
        <v>5.3629999999999995</v>
      </c>
      <c r="I39" s="106">
        <v>5.3629999999999995</v>
      </c>
      <c r="J39" s="106">
        <v>5.3629999999999995</v>
      </c>
      <c r="K39" s="106">
        <v>5.3629999999999995</v>
      </c>
      <c r="L39" s="106">
        <v>6.1235300365250511</v>
      </c>
      <c r="M39" s="106">
        <v>6.1235300365250511</v>
      </c>
      <c r="N39" s="109">
        <v>6.1235300365250511</v>
      </c>
      <c r="O39" s="61"/>
    </row>
    <row r="40" spans="1:15" s="13" customFormat="1" ht="25.5" x14ac:dyDescent="0.2">
      <c r="A40" s="82"/>
      <c r="B40" s="87" t="s">
        <v>118</v>
      </c>
      <c r="C40" s="119">
        <f>SUM(C41:C42)</f>
        <v>1063691.4400000002</v>
      </c>
      <c r="D40" s="119">
        <f t="shared" ref="D40:N40" si="8">SUM(D41:D42)</f>
        <v>1007002.78</v>
      </c>
      <c r="E40" s="120">
        <f t="shared" si="8"/>
        <v>1062450.8899999999</v>
      </c>
      <c r="F40" s="120">
        <f t="shared" si="8"/>
        <v>1056190.19</v>
      </c>
      <c r="G40" s="119">
        <f t="shared" si="8"/>
        <v>1227142.22</v>
      </c>
      <c r="H40" s="119">
        <f t="shared" si="8"/>
        <v>1197387.5999999999</v>
      </c>
      <c r="I40" s="119">
        <f t="shared" si="8"/>
        <v>1200392.96</v>
      </c>
      <c r="J40" s="119">
        <f t="shared" si="8"/>
        <v>1192228.79</v>
      </c>
      <c r="K40" s="119">
        <f t="shared" si="8"/>
        <v>1192669.18</v>
      </c>
      <c r="L40" s="119">
        <f t="shared" si="8"/>
        <v>1225813.8399999999</v>
      </c>
      <c r="M40" s="119">
        <f t="shared" si="8"/>
        <v>1234126.6700000002</v>
      </c>
      <c r="N40" s="118">
        <f t="shared" si="8"/>
        <v>1233361.28</v>
      </c>
      <c r="O40" s="61"/>
    </row>
    <row r="41" spans="1:15" s="13" customFormat="1" ht="25.5" x14ac:dyDescent="0.2">
      <c r="A41" s="178"/>
      <c r="B41" s="91" t="s">
        <v>116</v>
      </c>
      <c r="C41" s="146">
        <v>850.58</v>
      </c>
      <c r="D41" s="146">
        <v>1150.1400000000001</v>
      </c>
      <c r="E41" s="99">
        <v>1178.98</v>
      </c>
      <c r="F41" s="99">
        <v>1377.28</v>
      </c>
      <c r="G41" s="147">
        <v>1386.94</v>
      </c>
      <c r="H41" s="146">
        <v>1354.18</v>
      </c>
      <c r="I41" s="146">
        <v>1251.6600000000001</v>
      </c>
      <c r="J41" s="146">
        <v>1551.11</v>
      </c>
      <c r="K41" s="146">
        <v>1608.71</v>
      </c>
      <c r="L41" s="146">
        <v>1250.6400000000001</v>
      </c>
      <c r="M41" s="146">
        <v>1067.3599999999999</v>
      </c>
      <c r="N41" s="158">
        <v>1060.92</v>
      </c>
      <c r="O41" s="61"/>
    </row>
    <row r="42" spans="1:15" s="13" customFormat="1" ht="26.25" thickBot="1" x14ac:dyDescent="0.25">
      <c r="A42" s="178"/>
      <c r="B42" s="90" t="s">
        <v>117</v>
      </c>
      <c r="C42" s="101">
        <v>1062840.8600000001</v>
      </c>
      <c r="D42" s="101">
        <v>1005852.64</v>
      </c>
      <c r="E42" s="102">
        <v>1061271.9099999999</v>
      </c>
      <c r="F42" s="102">
        <v>1054812.9099999999</v>
      </c>
      <c r="G42" s="157">
        <v>1225755.28</v>
      </c>
      <c r="H42" s="101">
        <v>1196033.42</v>
      </c>
      <c r="I42" s="101">
        <v>1199141.3</v>
      </c>
      <c r="J42" s="101">
        <v>1190677.68</v>
      </c>
      <c r="K42" s="101">
        <v>1191060.47</v>
      </c>
      <c r="L42" s="101">
        <v>1224563.2</v>
      </c>
      <c r="M42" s="101">
        <v>1233059.31</v>
      </c>
      <c r="N42" s="148">
        <v>1232300.3600000001</v>
      </c>
    </row>
    <row r="43" spans="1:15" s="13" customFormat="1" ht="26.25" thickBot="1" x14ac:dyDescent="0.25">
      <c r="A43" s="36" t="s">
        <v>16</v>
      </c>
      <c r="B43" s="37" t="s">
        <v>11</v>
      </c>
      <c r="C43" s="20"/>
      <c r="D43" s="20"/>
      <c r="E43" s="21"/>
      <c r="F43" s="21"/>
      <c r="G43" s="66"/>
      <c r="H43" s="20"/>
      <c r="I43" s="20"/>
      <c r="J43" s="20"/>
      <c r="K43" s="20"/>
      <c r="L43" s="20"/>
      <c r="M43" s="20"/>
      <c r="N43" s="55"/>
    </row>
    <row r="44" spans="1:15" s="13" customFormat="1" ht="14.25" customHeight="1" x14ac:dyDescent="0.2">
      <c r="A44" s="85"/>
      <c r="B44" s="88" t="s">
        <v>61</v>
      </c>
      <c r="C44" s="159">
        <f>SUM(C45:C47)</f>
        <v>2413.5629999999996</v>
      </c>
      <c r="D44" s="159">
        <f t="shared" ref="D44:N44" si="9">SUM(D45:D47)</f>
        <v>2610.6429999999996</v>
      </c>
      <c r="E44" s="160">
        <f t="shared" si="9"/>
        <v>2619.3129999999996</v>
      </c>
      <c r="F44" s="160">
        <f t="shared" si="9"/>
        <v>2583.6429999999996</v>
      </c>
      <c r="G44" s="160">
        <f t="shared" si="9"/>
        <v>2561.4129999999996</v>
      </c>
      <c r="H44" s="160">
        <f t="shared" si="9"/>
        <v>2572.4429999999998</v>
      </c>
      <c r="I44" s="160">
        <f t="shared" si="9"/>
        <v>2828.1129999999998</v>
      </c>
      <c r="J44" s="160">
        <f t="shared" si="9"/>
        <v>2854.6729999999998</v>
      </c>
      <c r="K44" s="160">
        <f t="shared" si="9"/>
        <v>2803.4229999999998</v>
      </c>
      <c r="L44" s="160">
        <f t="shared" si="9"/>
        <v>2912.6735300365249</v>
      </c>
      <c r="M44" s="160">
        <f t="shared" si="9"/>
        <v>2965.553530036525</v>
      </c>
      <c r="N44" s="161">
        <f t="shared" si="9"/>
        <v>2916.6935300365249</v>
      </c>
    </row>
    <row r="45" spans="1:15" s="13" customFormat="1" x14ac:dyDescent="0.2">
      <c r="A45" s="25"/>
      <c r="B45" s="89" t="s">
        <v>113</v>
      </c>
      <c r="C45" s="101">
        <f t="shared" ref="C45:N45" si="10">C36</f>
        <v>2190.75</v>
      </c>
      <c r="D45" s="101">
        <f t="shared" si="10"/>
        <v>2387.83</v>
      </c>
      <c r="E45" s="102">
        <f t="shared" si="10"/>
        <v>2396.5</v>
      </c>
      <c r="F45" s="102">
        <f t="shared" si="10"/>
        <v>2360.83</v>
      </c>
      <c r="G45" s="157">
        <f t="shared" si="10"/>
        <v>2338.6</v>
      </c>
      <c r="H45" s="101">
        <f t="shared" si="10"/>
        <v>2349.63</v>
      </c>
      <c r="I45" s="101">
        <f t="shared" si="10"/>
        <v>2605.3000000000002</v>
      </c>
      <c r="J45" s="101">
        <f t="shared" si="10"/>
        <v>2631.86</v>
      </c>
      <c r="K45" s="101">
        <f t="shared" si="10"/>
        <v>2580.61</v>
      </c>
      <c r="L45" s="101">
        <f t="shared" si="10"/>
        <v>2625.93</v>
      </c>
      <c r="M45" s="101">
        <f t="shared" si="10"/>
        <v>2678.81</v>
      </c>
      <c r="N45" s="158">
        <f t="shared" si="10"/>
        <v>2629.95</v>
      </c>
    </row>
    <row r="46" spans="1:15" s="13" customFormat="1" x14ac:dyDescent="0.2">
      <c r="A46" s="40"/>
      <c r="B46" s="90" t="s">
        <v>9</v>
      </c>
      <c r="C46" s="114">
        <f t="shared" ref="C46:N46" si="11">C38</f>
        <v>217.45000000000002</v>
      </c>
      <c r="D46" s="114">
        <f t="shared" si="11"/>
        <v>217.45000000000002</v>
      </c>
      <c r="E46" s="115">
        <f t="shared" si="11"/>
        <v>217.45000000000002</v>
      </c>
      <c r="F46" s="115">
        <f t="shared" si="11"/>
        <v>217.45000000000002</v>
      </c>
      <c r="G46" s="121">
        <f t="shared" si="11"/>
        <v>217.45000000000002</v>
      </c>
      <c r="H46" s="115">
        <f t="shared" si="11"/>
        <v>217.45000000000002</v>
      </c>
      <c r="I46" s="115">
        <f t="shared" si="11"/>
        <v>217.45000000000002</v>
      </c>
      <c r="J46" s="115">
        <f t="shared" si="11"/>
        <v>217.45000000000002</v>
      </c>
      <c r="K46" s="115">
        <f t="shared" si="11"/>
        <v>217.45000000000002</v>
      </c>
      <c r="L46" s="115">
        <f t="shared" si="11"/>
        <v>280.62</v>
      </c>
      <c r="M46" s="115">
        <f t="shared" si="11"/>
        <v>280.62</v>
      </c>
      <c r="N46" s="122">
        <f t="shared" si="11"/>
        <v>280.62</v>
      </c>
    </row>
    <row r="47" spans="1:15" s="13" customFormat="1" x14ac:dyDescent="0.2">
      <c r="A47" s="81"/>
      <c r="B47" s="91" t="s">
        <v>42</v>
      </c>
      <c r="C47" s="106">
        <f t="shared" ref="C47:N47" si="12">C39</f>
        <v>5.3629999999999995</v>
      </c>
      <c r="D47" s="106">
        <f t="shared" si="12"/>
        <v>5.3629999999999995</v>
      </c>
      <c r="E47" s="107">
        <f t="shared" si="12"/>
        <v>5.3629999999999995</v>
      </c>
      <c r="F47" s="107">
        <f t="shared" si="12"/>
        <v>5.3629999999999995</v>
      </c>
      <c r="G47" s="108">
        <f t="shared" si="12"/>
        <v>5.3629999999999995</v>
      </c>
      <c r="H47" s="106">
        <f t="shared" si="12"/>
        <v>5.3629999999999995</v>
      </c>
      <c r="I47" s="106">
        <f t="shared" si="12"/>
        <v>5.3629999999999995</v>
      </c>
      <c r="J47" s="106">
        <f t="shared" si="12"/>
        <v>5.3629999999999995</v>
      </c>
      <c r="K47" s="106">
        <f t="shared" si="12"/>
        <v>5.3629999999999995</v>
      </c>
      <c r="L47" s="106">
        <f t="shared" si="12"/>
        <v>6.1235300365250511</v>
      </c>
      <c r="M47" s="106">
        <f t="shared" si="12"/>
        <v>6.1235300365250511</v>
      </c>
      <c r="N47" s="109">
        <f t="shared" si="12"/>
        <v>6.1235300365250511</v>
      </c>
    </row>
    <row r="48" spans="1:15" s="13" customFormat="1" ht="25.5" x14ac:dyDescent="0.2">
      <c r="A48" s="81"/>
      <c r="B48" s="87" t="s">
        <v>118</v>
      </c>
      <c r="C48" s="119">
        <f>SUM(C49:C50)</f>
        <v>1063691.4400000002</v>
      </c>
      <c r="D48" s="119">
        <f t="shared" ref="D48:N48" si="13">SUM(D49:D50)</f>
        <v>1007002.78</v>
      </c>
      <c r="E48" s="120">
        <f t="shared" si="13"/>
        <v>1062450.8899999999</v>
      </c>
      <c r="F48" s="120">
        <f t="shared" si="13"/>
        <v>1056190.19</v>
      </c>
      <c r="G48" s="119">
        <f t="shared" si="13"/>
        <v>1227142.22</v>
      </c>
      <c r="H48" s="119">
        <f t="shared" si="13"/>
        <v>1197387.5999999999</v>
      </c>
      <c r="I48" s="119">
        <f t="shared" si="13"/>
        <v>1200392.96</v>
      </c>
      <c r="J48" s="119">
        <f t="shared" si="13"/>
        <v>1192228.79</v>
      </c>
      <c r="K48" s="119">
        <f t="shared" si="13"/>
        <v>1192669.18</v>
      </c>
      <c r="L48" s="119">
        <f t="shared" si="13"/>
        <v>1225813.8399999999</v>
      </c>
      <c r="M48" s="119">
        <f t="shared" si="13"/>
        <v>1234126.6700000002</v>
      </c>
      <c r="N48" s="127">
        <f t="shared" si="13"/>
        <v>1233361.28</v>
      </c>
    </row>
    <row r="49" spans="1:15" s="13" customFormat="1" ht="25.5" x14ac:dyDescent="0.2">
      <c r="A49" s="81"/>
      <c r="B49" s="91" t="s">
        <v>116</v>
      </c>
      <c r="C49" s="146">
        <v>850.58</v>
      </c>
      <c r="D49" s="146">
        <v>1150.1400000000001</v>
      </c>
      <c r="E49" s="99">
        <v>1178.98</v>
      </c>
      <c r="F49" s="99">
        <v>1377.28</v>
      </c>
      <c r="G49" s="147">
        <v>1386.94</v>
      </c>
      <c r="H49" s="146">
        <v>1354.18</v>
      </c>
      <c r="I49" s="146">
        <v>1251.6600000000001</v>
      </c>
      <c r="J49" s="146">
        <v>1551.11</v>
      </c>
      <c r="K49" s="146">
        <v>1608.71</v>
      </c>
      <c r="L49" s="146">
        <v>1250.6400000000001</v>
      </c>
      <c r="M49" s="146">
        <v>1067.3599999999999</v>
      </c>
      <c r="N49" s="158">
        <v>1060.92</v>
      </c>
    </row>
    <row r="50" spans="1:15" s="13" customFormat="1" ht="26.25" thickBot="1" x14ac:dyDescent="0.25">
      <c r="A50" s="32"/>
      <c r="B50" s="186" t="s">
        <v>117</v>
      </c>
      <c r="C50" s="194">
        <v>1062840.8600000001</v>
      </c>
      <c r="D50" s="194">
        <v>1005852.64</v>
      </c>
      <c r="E50" s="173">
        <v>1061271.9099999999</v>
      </c>
      <c r="F50" s="173">
        <v>1054812.9099999999</v>
      </c>
      <c r="G50" s="195">
        <v>1225755.28</v>
      </c>
      <c r="H50" s="194">
        <v>1196033.42</v>
      </c>
      <c r="I50" s="194">
        <v>1199141.3</v>
      </c>
      <c r="J50" s="194">
        <v>1190677.68</v>
      </c>
      <c r="K50" s="194">
        <v>1191060.47</v>
      </c>
      <c r="L50" s="194">
        <v>1224563.2</v>
      </c>
      <c r="M50" s="194">
        <v>1233059.31</v>
      </c>
      <c r="N50" s="188">
        <v>1232300.3600000001</v>
      </c>
    </row>
    <row r="51" spans="1:15" ht="15" customHeight="1" x14ac:dyDescent="0.2"/>
    <row r="52" spans="1:15" ht="15" customHeight="1" x14ac:dyDescent="0.2"/>
    <row r="53" spans="1:15" s="59" customFormat="1" ht="21" customHeight="1" thickBot="1" x14ac:dyDescent="0.25">
      <c r="A53" s="7" t="s">
        <v>83</v>
      </c>
      <c r="B53" s="7"/>
      <c r="C53" s="7"/>
      <c r="D53" s="7"/>
      <c r="E53" s="7"/>
      <c r="F53" s="7"/>
      <c r="G53" s="5"/>
      <c r="H53" s="5"/>
      <c r="I53" s="5"/>
      <c r="J53" s="5"/>
      <c r="K53" s="5"/>
      <c r="L53" s="6"/>
      <c r="M53" s="6"/>
      <c r="N53" s="6"/>
    </row>
    <row r="54" spans="1:15" s="13" customFormat="1" ht="24" customHeight="1" thickBot="1" x14ac:dyDescent="0.25">
      <c r="A54" s="49" t="s">
        <v>0</v>
      </c>
      <c r="B54" s="50" t="s">
        <v>1</v>
      </c>
      <c r="C54" s="51" t="s">
        <v>17</v>
      </c>
      <c r="D54" s="51" t="s">
        <v>18</v>
      </c>
      <c r="E54" s="51" t="s">
        <v>19</v>
      </c>
      <c r="F54" s="51" t="s">
        <v>20</v>
      </c>
      <c r="G54" s="51" t="s">
        <v>21</v>
      </c>
      <c r="H54" s="51" t="s">
        <v>22</v>
      </c>
      <c r="I54" s="51" t="s">
        <v>23</v>
      </c>
      <c r="J54" s="51" t="s">
        <v>24</v>
      </c>
      <c r="K54" s="51" t="s">
        <v>25</v>
      </c>
      <c r="L54" s="51" t="s">
        <v>26</v>
      </c>
      <c r="M54" s="51" t="s">
        <v>27</v>
      </c>
      <c r="N54" s="52" t="s">
        <v>28</v>
      </c>
    </row>
    <row r="55" spans="1:15" s="17" customFormat="1" ht="21" customHeight="1" thickBot="1" x14ac:dyDescent="0.25">
      <c r="A55" s="14" t="s">
        <v>31</v>
      </c>
      <c r="B55" s="15" t="s">
        <v>5</v>
      </c>
      <c r="C55" s="135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2"/>
      <c r="O55" s="44"/>
    </row>
    <row r="56" spans="1:15" s="17" customFormat="1" ht="14.25" customHeight="1" thickBot="1" x14ac:dyDescent="0.25">
      <c r="A56" s="18" t="s">
        <v>32</v>
      </c>
      <c r="B56" s="78" t="s">
        <v>7</v>
      </c>
      <c r="C56" s="20"/>
      <c r="D56" s="20"/>
      <c r="E56" s="21"/>
      <c r="F56" s="21"/>
      <c r="G56" s="63"/>
      <c r="H56" s="21"/>
      <c r="I56" s="21"/>
      <c r="J56" s="21"/>
      <c r="K56" s="21"/>
      <c r="L56" s="21"/>
      <c r="M56" s="21"/>
      <c r="N56" s="22"/>
      <c r="O56" s="61"/>
    </row>
    <row r="57" spans="1:15" s="13" customFormat="1" ht="15" customHeight="1" x14ac:dyDescent="0.2">
      <c r="A57" s="80"/>
      <c r="B57" s="86" t="s">
        <v>61</v>
      </c>
      <c r="C57" s="155">
        <f>SUM(C58:C61)</f>
        <v>5718.8829999999998</v>
      </c>
      <c r="D57" s="155">
        <f t="shared" ref="D57:N57" si="14">SUM(D58:D61)</f>
        <v>5915.9629999999997</v>
      </c>
      <c r="E57" s="156">
        <f t="shared" si="14"/>
        <v>5924.6329999999998</v>
      </c>
      <c r="F57" s="156">
        <f t="shared" si="14"/>
        <v>5888.9629999999997</v>
      </c>
      <c r="G57" s="156">
        <f t="shared" si="14"/>
        <v>5866.7330000000002</v>
      </c>
      <c r="H57" s="156">
        <f t="shared" si="14"/>
        <v>5877.7630000000008</v>
      </c>
      <c r="I57" s="156">
        <f t="shared" si="14"/>
        <v>6133.4330000000009</v>
      </c>
      <c r="J57" s="156">
        <f t="shared" si="14"/>
        <v>6159.9930000000004</v>
      </c>
      <c r="K57" s="156">
        <f t="shared" si="14"/>
        <v>6108.7430000000004</v>
      </c>
      <c r="L57" s="156">
        <f t="shared" si="14"/>
        <v>6895.5835300365252</v>
      </c>
      <c r="M57" s="156">
        <f t="shared" si="14"/>
        <v>6948.4635300365244</v>
      </c>
      <c r="N57" s="156">
        <f t="shared" si="14"/>
        <v>6899.6035300365247</v>
      </c>
      <c r="O57" s="61"/>
    </row>
    <row r="58" spans="1:15" s="13" customFormat="1" ht="15" customHeight="1" x14ac:dyDescent="0.2">
      <c r="A58" s="29"/>
      <c r="B58" s="89" t="s">
        <v>113</v>
      </c>
      <c r="C58" s="101">
        <v>2190.75</v>
      </c>
      <c r="D58" s="101">
        <v>2387.83</v>
      </c>
      <c r="E58" s="102">
        <v>2396.5</v>
      </c>
      <c r="F58" s="102">
        <v>2360.83</v>
      </c>
      <c r="G58" s="157">
        <v>2338.6</v>
      </c>
      <c r="H58" s="101">
        <v>2349.63</v>
      </c>
      <c r="I58" s="101">
        <v>2605.3000000000002</v>
      </c>
      <c r="J58" s="101">
        <v>2631.86</v>
      </c>
      <c r="K58" s="101">
        <v>2580.61</v>
      </c>
      <c r="L58" s="101">
        <v>2625.93</v>
      </c>
      <c r="M58" s="101">
        <v>2678.81</v>
      </c>
      <c r="N58" s="158">
        <v>2629.95</v>
      </c>
      <c r="O58" s="61"/>
    </row>
    <row r="59" spans="1:15" s="13" customFormat="1" ht="15" customHeight="1" x14ac:dyDescent="0.2">
      <c r="A59" s="25"/>
      <c r="B59" s="90" t="s">
        <v>8</v>
      </c>
      <c r="C59" s="146">
        <v>3305.32</v>
      </c>
      <c r="D59" s="146">
        <v>3305.32</v>
      </c>
      <c r="E59" s="99">
        <v>3305.32</v>
      </c>
      <c r="F59" s="99">
        <v>3305.32</v>
      </c>
      <c r="G59" s="147">
        <v>3305.32</v>
      </c>
      <c r="H59" s="146">
        <v>3305.32</v>
      </c>
      <c r="I59" s="146">
        <v>3305.32</v>
      </c>
      <c r="J59" s="146">
        <v>3305.32</v>
      </c>
      <c r="K59" s="146">
        <v>3305.32</v>
      </c>
      <c r="L59" s="146">
        <v>3982.91</v>
      </c>
      <c r="M59" s="146">
        <v>3982.91</v>
      </c>
      <c r="N59" s="148">
        <v>3982.91</v>
      </c>
      <c r="O59" s="61"/>
    </row>
    <row r="60" spans="1:15" s="13" customFormat="1" ht="15" customHeight="1" x14ac:dyDescent="0.2">
      <c r="A60" s="29"/>
      <c r="B60" s="89" t="s">
        <v>9</v>
      </c>
      <c r="C60" s="114">
        <v>217.45000000000002</v>
      </c>
      <c r="D60" s="114">
        <v>217.45000000000002</v>
      </c>
      <c r="E60" s="115">
        <v>217.45000000000002</v>
      </c>
      <c r="F60" s="115">
        <v>217.45000000000002</v>
      </c>
      <c r="G60" s="116">
        <v>217.45000000000002</v>
      </c>
      <c r="H60" s="114">
        <v>217.45000000000002</v>
      </c>
      <c r="I60" s="114">
        <v>217.45000000000002</v>
      </c>
      <c r="J60" s="114">
        <v>217.45000000000002</v>
      </c>
      <c r="K60" s="114">
        <v>217.45000000000002</v>
      </c>
      <c r="L60" s="114">
        <v>280.62</v>
      </c>
      <c r="M60" s="114">
        <v>280.62</v>
      </c>
      <c r="N60" s="117">
        <v>280.62</v>
      </c>
      <c r="O60" s="61"/>
    </row>
    <row r="61" spans="1:15" s="13" customFormat="1" x14ac:dyDescent="0.2">
      <c r="A61" s="81"/>
      <c r="B61" s="91" t="s">
        <v>42</v>
      </c>
      <c r="C61" s="106">
        <v>5.3629999999999995</v>
      </c>
      <c r="D61" s="106">
        <v>5.3629999999999995</v>
      </c>
      <c r="E61" s="107">
        <v>5.3629999999999995</v>
      </c>
      <c r="F61" s="107">
        <v>5.3629999999999995</v>
      </c>
      <c r="G61" s="108">
        <v>5.3629999999999995</v>
      </c>
      <c r="H61" s="106">
        <v>5.3629999999999995</v>
      </c>
      <c r="I61" s="106">
        <v>5.3629999999999995</v>
      </c>
      <c r="J61" s="106">
        <v>5.3629999999999995</v>
      </c>
      <c r="K61" s="106">
        <v>5.3629999999999995</v>
      </c>
      <c r="L61" s="106">
        <v>6.1235300365250511</v>
      </c>
      <c r="M61" s="106">
        <v>6.1235300365250511</v>
      </c>
      <c r="N61" s="109">
        <v>6.1235300365250511</v>
      </c>
      <c r="O61" s="61"/>
    </row>
    <row r="62" spans="1:15" s="13" customFormat="1" ht="25.5" x14ac:dyDescent="0.2">
      <c r="A62" s="82"/>
      <c r="B62" s="87" t="s">
        <v>118</v>
      </c>
      <c r="C62" s="119">
        <f>SUM(C63:C64)</f>
        <v>1063691.4400000002</v>
      </c>
      <c r="D62" s="119">
        <f t="shared" ref="D62:N62" si="15">SUM(D63:D64)</f>
        <v>1007002.78</v>
      </c>
      <c r="E62" s="120">
        <f t="shared" si="15"/>
        <v>1062450.8899999999</v>
      </c>
      <c r="F62" s="120">
        <f t="shared" si="15"/>
        <v>1056190.19</v>
      </c>
      <c r="G62" s="119">
        <f t="shared" si="15"/>
        <v>1227142.22</v>
      </c>
      <c r="H62" s="119">
        <f t="shared" si="15"/>
        <v>1197387.5999999999</v>
      </c>
      <c r="I62" s="119">
        <f t="shared" si="15"/>
        <v>1200392.96</v>
      </c>
      <c r="J62" s="119">
        <f t="shared" si="15"/>
        <v>1192228.79</v>
      </c>
      <c r="K62" s="119">
        <f t="shared" si="15"/>
        <v>1192669.18</v>
      </c>
      <c r="L62" s="119">
        <f t="shared" si="15"/>
        <v>1225813.8399999999</v>
      </c>
      <c r="M62" s="119">
        <f t="shared" si="15"/>
        <v>1234126.6700000002</v>
      </c>
      <c r="N62" s="118">
        <f t="shared" si="15"/>
        <v>1233361.28</v>
      </c>
      <c r="O62" s="61"/>
    </row>
    <row r="63" spans="1:15" s="13" customFormat="1" ht="25.5" x14ac:dyDescent="0.2">
      <c r="A63" s="178"/>
      <c r="B63" s="91" t="s">
        <v>116</v>
      </c>
      <c r="C63" s="146">
        <v>850.58</v>
      </c>
      <c r="D63" s="146">
        <v>1150.1400000000001</v>
      </c>
      <c r="E63" s="99">
        <v>1178.98</v>
      </c>
      <c r="F63" s="99">
        <v>1377.28</v>
      </c>
      <c r="G63" s="147">
        <v>1386.94</v>
      </c>
      <c r="H63" s="146">
        <v>1354.18</v>
      </c>
      <c r="I63" s="146">
        <v>1251.6600000000001</v>
      </c>
      <c r="J63" s="146">
        <v>1551.11</v>
      </c>
      <c r="K63" s="146">
        <v>1608.71</v>
      </c>
      <c r="L63" s="146">
        <v>1250.6400000000001</v>
      </c>
      <c r="M63" s="146">
        <v>1067.3599999999999</v>
      </c>
      <c r="N63" s="158">
        <v>1060.92</v>
      </c>
      <c r="O63" s="61"/>
    </row>
    <row r="64" spans="1:15" s="13" customFormat="1" ht="26.25" thickBot="1" x14ac:dyDescent="0.25">
      <c r="A64" s="178"/>
      <c r="B64" s="90" t="s">
        <v>117</v>
      </c>
      <c r="C64" s="101">
        <v>1062840.8600000001</v>
      </c>
      <c r="D64" s="101">
        <v>1005852.64</v>
      </c>
      <c r="E64" s="102">
        <v>1061271.9099999999</v>
      </c>
      <c r="F64" s="102">
        <v>1054812.9099999999</v>
      </c>
      <c r="G64" s="157">
        <v>1225755.28</v>
      </c>
      <c r="H64" s="101">
        <v>1196033.42</v>
      </c>
      <c r="I64" s="101">
        <v>1199141.3</v>
      </c>
      <c r="J64" s="101">
        <v>1190677.68</v>
      </c>
      <c r="K64" s="101">
        <v>1191060.47</v>
      </c>
      <c r="L64" s="101">
        <v>1224563.2</v>
      </c>
      <c r="M64" s="101">
        <v>1233059.31</v>
      </c>
      <c r="N64" s="148">
        <v>1232300.3600000001</v>
      </c>
    </row>
    <row r="65" spans="1:15" s="13" customFormat="1" ht="26.25" thickBot="1" x14ac:dyDescent="0.25">
      <c r="A65" s="36" t="s">
        <v>33</v>
      </c>
      <c r="B65" s="37" t="s">
        <v>11</v>
      </c>
      <c r="C65" s="20"/>
      <c r="D65" s="20"/>
      <c r="E65" s="21"/>
      <c r="F65" s="21"/>
      <c r="G65" s="66"/>
      <c r="H65" s="20"/>
      <c r="I65" s="20"/>
      <c r="J65" s="20"/>
      <c r="K65" s="20"/>
      <c r="L65" s="20"/>
      <c r="M65" s="20"/>
      <c r="N65" s="55"/>
    </row>
    <row r="66" spans="1:15" s="13" customFormat="1" ht="14.25" customHeight="1" x14ac:dyDescent="0.2">
      <c r="A66" s="85"/>
      <c r="B66" s="88" t="s">
        <v>61</v>
      </c>
      <c r="C66" s="159">
        <f>SUM(C67:C69)</f>
        <v>2413.5629999999996</v>
      </c>
      <c r="D66" s="159">
        <f t="shared" ref="D66:N66" si="16">SUM(D67:D69)</f>
        <v>2610.6429999999996</v>
      </c>
      <c r="E66" s="160">
        <f t="shared" si="16"/>
        <v>2619.3129999999996</v>
      </c>
      <c r="F66" s="160">
        <f t="shared" si="16"/>
        <v>2583.6429999999996</v>
      </c>
      <c r="G66" s="160">
        <f t="shared" si="16"/>
        <v>2561.4129999999996</v>
      </c>
      <c r="H66" s="160">
        <f t="shared" si="16"/>
        <v>2572.4429999999998</v>
      </c>
      <c r="I66" s="160">
        <f t="shared" si="16"/>
        <v>2828.1129999999998</v>
      </c>
      <c r="J66" s="160">
        <f t="shared" si="16"/>
        <v>2854.6729999999998</v>
      </c>
      <c r="K66" s="160">
        <f t="shared" si="16"/>
        <v>2803.4229999999998</v>
      </c>
      <c r="L66" s="160">
        <f t="shared" si="16"/>
        <v>2912.6735300365249</v>
      </c>
      <c r="M66" s="160">
        <f t="shared" si="16"/>
        <v>2965.553530036525</v>
      </c>
      <c r="N66" s="161">
        <f t="shared" si="16"/>
        <v>2916.6935300365249</v>
      </c>
    </row>
    <row r="67" spans="1:15" s="13" customFormat="1" x14ac:dyDescent="0.2">
      <c r="A67" s="25"/>
      <c r="B67" s="89" t="s">
        <v>113</v>
      </c>
      <c r="C67" s="101">
        <f t="shared" ref="C67:N67" si="17">C58</f>
        <v>2190.75</v>
      </c>
      <c r="D67" s="101">
        <f t="shared" si="17"/>
        <v>2387.83</v>
      </c>
      <c r="E67" s="102">
        <f t="shared" si="17"/>
        <v>2396.5</v>
      </c>
      <c r="F67" s="102">
        <f t="shared" si="17"/>
        <v>2360.83</v>
      </c>
      <c r="G67" s="157">
        <f t="shared" si="17"/>
        <v>2338.6</v>
      </c>
      <c r="H67" s="101">
        <f t="shared" si="17"/>
        <v>2349.63</v>
      </c>
      <c r="I67" s="101">
        <f t="shared" si="17"/>
        <v>2605.3000000000002</v>
      </c>
      <c r="J67" s="101">
        <f t="shared" si="17"/>
        <v>2631.86</v>
      </c>
      <c r="K67" s="101">
        <f t="shared" si="17"/>
        <v>2580.61</v>
      </c>
      <c r="L67" s="101">
        <f t="shared" si="17"/>
        <v>2625.93</v>
      </c>
      <c r="M67" s="101">
        <f t="shared" si="17"/>
        <v>2678.81</v>
      </c>
      <c r="N67" s="158">
        <f t="shared" si="17"/>
        <v>2629.95</v>
      </c>
    </row>
    <row r="68" spans="1:15" s="13" customFormat="1" x14ac:dyDescent="0.2">
      <c r="A68" s="40"/>
      <c r="B68" s="90" t="s">
        <v>9</v>
      </c>
      <c r="C68" s="114">
        <f t="shared" ref="C68:N68" si="18">C60</f>
        <v>217.45000000000002</v>
      </c>
      <c r="D68" s="114">
        <f t="shared" si="18"/>
        <v>217.45000000000002</v>
      </c>
      <c r="E68" s="115">
        <f t="shared" si="18"/>
        <v>217.45000000000002</v>
      </c>
      <c r="F68" s="115">
        <f t="shared" si="18"/>
        <v>217.45000000000002</v>
      </c>
      <c r="G68" s="121">
        <f t="shared" si="18"/>
        <v>217.45000000000002</v>
      </c>
      <c r="H68" s="115">
        <f t="shared" si="18"/>
        <v>217.45000000000002</v>
      </c>
      <c r="I68" s="115">
        <f t="shared" si="18"/>
        <v>217.45000000000002</v>
      </c>
      <c r="J68" s="115">
        <f t="shared" si="18"/>
        <v>217.45000000000002</v>
      </c>
      <c r="K68" s="115">
        <f t="shared" si="18"/>
        <v>217.45000000000002</v>
      </c>
      <c r="L68" s="115">
        <f t="shared" si="18"/>
        <v>280.62</v>
      </c>
      <c r="M68" s="115">
        <f t="shared" si="18"/>
        <v>280.62</v>
      </c>
      <c r="N68" s="122">
        <f t="shared" si="18"/>
        <v>280.62</v>
      </c>
    </row>
    <row r="69" spans="1:15" s="13" customFormat="1" x14ac:dyDescent="0.2">
      <c r="A69" s="81"/>
      <c r="B69" s="91" t="s">
        <v>42</v>
      </c>
      <c r="C69" s="106">
        <f t="shared" ref="C69:N69" si="19">C61</f>
        <v>5.3629999999999995</v>
      </c>
      <c r="D69" s="106">
        <f t="shared" si="19"/>
        <v>5.3629999999999995</v>
      </c>
      <c r="E69" s="107">
        <f t="shared" si="19"/>
        <v>5.3629999999999995</v>
      </c>
      <c r="F69" s="107">
        <f t="shared" si="19"/>
        <v>5.3629999999999995</v>
      </c>
      <c r="G69" s="108">
        <f t="shared" si="19"/>
        <v>5.3629999999999995</v>
      </c>
      <c r="H69" s="106">
        <f t="shared" si="19"/>
        <v>5.3629999999999995</v>
      </c>
      <c r="I69" s="106">
        <f t="shared" si="19"/>
        <v>5.3629999999999995</v>
      </c>
      <c r="J69" s="106">
        <f t="shared" si="19"/>
        <v>5.3629999999999995</v>
      </c>
      <c r="K69" s="106">
        <f t="shared" si="19"/>
        <v>5.3629999999999995</v>
      </c>
      <c r="L69" s="106">
        <f t="shared" si="19"/>
        <v>6.1235300365250511</v>
      </c>
      <c r="M69" s="106">
        <f t="shared" si="19"/>
        <v>6.1235300365250511</v>
      </c>
      <c r="N69" s="109">
        <f t="shared" si="19"/>
        <v>6.1235300365250511</v>
      </c>
    </row>
    <row r="70" spans="1:15" s="13" customFormat="1" ht="25.5" x14ac:dyDescent="0.2">
      <c r="A70" s="81"/>
      <c r="B70" s="87" t="s">
        <v>118</v>
      </c>
      <c r="C70" s="119">
        <f>SUM(C71:C72)</f>
        <v>1063691.4400000002</v>
      </c>
      <c r="D70" s="119">
        <f t="shared" ref="D70:N70" si="20">SUM(D71:D72)</f>
        <v>1007002.78</v>
      </c>
      <c r="E70" s="120">
        <f t="shared" si="20"/>
        <v>1062450.8899999999</v>
      </c>
      <c r="F70" s="120">
        <f t="shared" si="20"/>
        <v>1056190.19</v>
      </c>
      <c r="G70" s="119">
        <f t="shared" si="20"/>
        <v>1227142.22</v>
      </c>
      <c r="H70" s="119">
        <f t="shared" si="20"/>
        <v>1197387.5999999999</v>
      </c>
      <c r="I70" s="119">
        <f t="shared" si="20"/>
        <v>1200392.96</v>
      </c>
      <c r="J70" s="119">
        <f t="shared" si="20"/>
        <v>1192228.79</v>
      </c>
      <c r="K70" s="119">
        <f t="shared" si="20"/>
        <v>1192669.18</v>
      </c>
      <c r="L70" s="119">
        <f t="shared" si="20"/>
        <v>1225813.8399999999</v>
      </c>
      <c r="M70" s="119">
        <f t="shared" si="20"/>
        <v>1234126.6700000002</v>
      </c>
      <c r="N70" s="127">
        <f t="shared" si="20"/>
        <v>1233361.28</v>
      </c>
    </row>
    <row r="71" spans="1:15" s="13" customFormat="1" ht="25.5" x14ac:dyDescent="0.2">
      <c r="A71" s="81"/>
      <c r="B71" s="91" t="s">
        <v>116</v>
      </c>
      <c r="C71" s="146">
        <v>850.58</v>
      </c>
      <c r="D71" s="146">
        <v>1150.1400000000001</v>
      </c>
      <c r="E71" s="99">
        <v>1178.98</v>
      </c>
      <c r="F71" s="99">
        <v>1377.28</v>
      </c>
      <c r="G71" s="147">
        <v>1386.94</v>
      </c>
      <c r="H71" s="146">
        <v>1354.18</v>
      </c>
      <c r="I71" s="146">
        <v>1251.6600000000001</v>
      </c>
      <c r="J71" s="146">
        <v>1551.11</v>
      </c>
      <c r="K71" s="146">
        <v>1608.71</v>
      </c>
      <c r="L71" s="146">
        <v>1250.6400000000001</v>
      </c>
      <c r="M71" s="146">
        <v>1067.3599999999999</v>
      </c>
      <c r="N71" s="158">
        <v>1060.92</v>
      </c>
    </row>
    <row r="72" spans="1:15" s="13" customFormat="1" ht="26.25" thickBot="1" x14ac:dyDescent="0.25">
      <c r="A72" s="32"/>
      <c r="B72" s="186" t="s">
        <v>117</v>
      </c>
      <c r="C72" s="194">
        <v>1062840.8600000001</v>
      </c>
      <c r="D72" s="194">
        <v>1005852.64</v>
      </c>
      <c r="E72" s="173">
        <v>1061271.9099999999</v>
      </c>
      <c r="F72" s="173">
        <v>1054812.9099999999</v>
      </c>
      <c r="G72" s="195">
        <v>1225755.28</v>
      </c>
      <c r="H72" s="194">
        <v>1196033.42</v>
      </c>
      <c r="I72" s="194">
        <v>1199141.3</v>
      </c>
      <c r="J72" s="194">
        <v>1190677.68</v>
      </c>
      <c r="K72" s="194">
        <v>1191060.47</v>
      </c>
      <c r="L72" s="194">
        <v>1224563.2</v>
      </c>
      <c r="M72" s="194">
        <v>1233059.31</v>
      </c>
      <c r="N72" s="188">
        <v>1232300.3600000001</v>
      </c>
    </row>
    <row r="73" spans="1:15" s="13" customFormat="1" ht="15" customHeight="1" x14ac:dyDescent="0.2">
      <c r="A73" s="45"/>
      <c r="B73" s="46"/>
      <c r="C73" s="47"/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5" s="13" customFormat="1" ht="15" customHeight="1" x14ac:dyDescent="0.2">
      <c r="A74" s="45"/>
      <c r="B74" s="46"/>
      <c r="C74" s="47"/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5" s="59" customFormat="1" ht="21" customHeight="1" thickBot="1" x14ac:dyDescent="0.25">
      <c r="A75" s="7" t="s">
        <v>82</v>
      </c>
      <c r="B75" s="7"/>
      <c r="C75" s="7"/>
      <c r="D75" s="7"/>
      <c r="E75" s="7"/>
      <c r="F75" s="7"/>
      <c r="G75" s="5"/>
      <c r="H75" s="5"/>
      <c r="I75" s="5"/>
      <c r="J75" s="5"/>
      <c r="K75" s="5"/>
      <c r="L75" s="6"/>
      <c r="M75" s="6"/>
      <c r="N75" s="6"/>
    </row>
    <row r="76" spans="1:15" s="13" customFormat="1" ht="24" customHeight="1" thickBot="1" x14ac:dyDescent="0.25">
      <c r="A76" s="49" t="s">
        <v>0</v>
      </c>
      <c r="B76" s="50" t="s">
        <v>1</v>
      </c>
      <c r="C76" s="51" t="s">
        <v>17</v>
      </c>
      <c r="D76" s="51" t="s">
        <v>18</v>
      </c>
      <c r="E76" s="51" t="s">
        <v>19</v>
      </c>
      <c r="F76" s="51" t="s">
        <v>20</v>
      </c>
      <c r="G76" s="51" t="s">
        <v>21</v>
      </c>
      <c r="H76" s="51" t="s">
        <v>22</v>
      </c>
      <c r="I76" s="51" t="s">
        <v>23</v>
      </c>
      <c r="J76" s="51" t="s">
        <v>24</v>
      </c>
      <c r="K76" s="51" t="s">
        <v>25</v>
      </c>
      <c r="L76" s="51" t="s">
        <v>26</v>
      </c>
      <c r="M76" s="51" t="s">
        <v>27</v>
      </c>
      <c r="N76" s="52" t="s">
        <v>28</v>
      </c>
    </row>
    <row r="77" spans="1:15" s="17" customFormat="1" ht="21" customHeight="1" thickBot="1" x14ac:dyDescent="0.25">
      <c r="A77" s="14" t="s">
        <v>34</v>
      </c>
      <c r="B77" s="15" t="s">
        <v>5</v>
      </c>
      <c r="C77" s="135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2"/>
      <c r="O77" s="44"/>
    </row>
    <row r="78" spans="1:15" s="17" customFormat="1" ht="13.5" thickBot="1" x14ac:dyDescent="0.25">
      <c r="A78" s="18" t="s">
        <v>35</v>
      </c>
      <c r="B78" s="78" t="s">
        <v>7</v>
      </c>
      <c r="C78" s="20"/>
      <c r="D78" s="20"/>
      <c r="E78" s="21"/>
      <c r="F78" s="21"/>
      <c r="G78" s="63"/>
      <c r="H78" s="21"/>
      <c r="I78" s="21"/>
      <c r="J78" s="21"/>
      <c r="K78" s="21"/>
      <c r="L78" s="21"/>
      <c r="M78" s="21"/>
      <c r="N78" s="22"/>
      <c r="O78" s="61"/>
    </row>
    <row r="79" spans="1:15" s="13" customFormat="1" ht="15" customHeight="1" x14ac:dyDescent="0.2">
      <c r="A79" s="80"/>
      <c r="B79" s="86" t="s">
        <v>61</v>
      </c>
      <c r="C79" s="155">
        <f>SUM(C80:C83)</f>
        <v>6673.3829999999998</v>
      </c>
      <c r="D79" s="155">
        <f t="shared" ref="D79:N79" si="21">SUM(D80:D83)</f>
        <v>6870.4629999999997</v>
      </c>
      <c r="E79" s="156">
        <f t="shared" si="21"/>
        <v>6879.1329999999998</v>
      </c>
      <c r="F79" s="156">
        <f t="shared" si="21"/>
        <v>6843.4629999999997</v>
      </c>
      <c r="G79" s="156">
        <f t="shared" si="21"/>
        <v>6821.2330000000002</v>
      </c>
      <c r="H79" s="156">
        <f t="shared" si="21"/>
        <v>6832.2629999999999</v>
      </c>
      <c r="I79" s="156">
        <f t="shared" si="21"/>
        <v>7087.933</v>
      </c>
      <c r="J79" s="156">
        <f t="shared" si="21"/>
        <v>7114.4930000000004</v>
      </c>
      <c r="K79" s="156">
        <f t="shared" si="21"/>
        <v>7063.2430000000004</v>
      </c>
      <c r="L79" s="156">
        <f t="shared" si="21"/>
        <v>8118.1735300365253</v>
      </c>
      <c r="M79" s="156">
        <f t="shared" si="21"/>
        <v>8171.0535300365245</v>
      </c>
      <c r="N79" s="156">
        <f t="shared" si="21"/>
        <v>8122.1935300365249</v>
      </c>
      <c r="O79" s="61"/>
    </row>
    <row r="80" spans="1:15" s="13" customFormat="1" ht="15" customHeight="1" x14ac:dyDescent="0.2">
      <c r="A80" s="29"/>
      <c r="B80" s="89" t="s">
        <v>113</v>
      </c>
      <c r="C80" s="101">
        <v>2190.75</v>
      </c>
      <c r="D80" s="101">
        <v>2387.83</v>
      </c>
      <c r="E80" s="102">
        <v>2396.5</v>
      </c>
      <c r="F80" s="102">
        <v>2360.83</v>
      </c>
      <c r="G80" s="157">
        <v>2338.6</v>
      </c>
      <c r="H80" s="101">
        <v>2349.63</v>
      </c>
      <c r="I80" s="101">
        <v>2605.3000000000002</v>
      </c>
      <c r="J80" s="101">
        <v>2631.86</v>
      </c>
      <c r="K80" s="101">
        <v>2580.61</v>
      </c>
      <c r="L80" s="101">
        <v>2625.93</v>
      </c>
      <c r="M80" s="101">
        <v>2678.81</v>
      </c>
      <c r="N80" s="158">
        <v>2629.95</v>
      </c>
      <c r="O80" s="61"/>
    </row>
    <row r="81" spans="1:15" s="13" customFormat="1" ht="15" customHeight="1" x14ac:dyDescent="0.2">
      <c r="A81" s="25"/>
      <c r="B81" s="90" t="s">
        <v>8</v>
      </c>
      <c r="C81" s="146">
        <v>4259.82</v>
      </c>
      <c r="D81" s="146">
        <v>4259.82</v>
      </c>
      <c r="E81" s="99">
        <v>4259.82</v>
      </c>
      <c r="F81" s="99">
        <v>4259.82</v>
      </c>
      <c r="G81" s="147">
        <v>4259.82</v>
      </c>
      <c r="H81" s="146">
        <v>4259.82</v>
      </c>
      <c r="I81" s="146">
        <v>4259.82</v>
      </c>
      <c r="J81" s="146">
        <v>4259.82</v>
      </c>
      <c r="K81" s="146">
        <v>4259.82</v>
      </c>
      <c r="L81" s="146">
        <v>5205.5</v>
      </c>
      <c r="M81" s="146">
        <v>5205.5</v>
      </c>
      <c r="N81" s="148">
        <v>5205.5</v>
      </c>
      <c r="O81" s="61"/>
    </row>
    <row r="82" spans="1:15" s="13" customFormat="1" ht="15" customHeight="1" x14ac:dyDescent="0.2">
      <c r="A82" s="29"/>
      <c r="B82" s="89" t="s">
        <v>9</v>
      </c>
      <c r="C82" s="114">
        <v>217.45000000000002</v>
      </c>
      <c r="D82" s="114">
        <v>217.45000000000002</v>
      </c>
      <c r="E82" s="115">
        <v>217.45000000000002</v>
      </c>
      <c r="F82" s="115">
        <v>217.45000000000002</v>
      </c>
      <c r="G82" s="116">
        <v>217.45000000000002</v>
      </c>
      <c r="H82" s="114">
        <v>217.45000000000002</v>
      </c>
      <c r="I82" s="114">
        <v>217.45000000000002</v>
      </c>
      <c r="J82" s="114">
        <v>217.45000000000002</v>
      </c>
      <c r="K82" s="114">
        <v>217.45000000000002</v>
      </c>
      <c r="L82" s="114">
        <v>280.62</v>
      </c>
      <c r="M82" s="114">
        <v>280.62</v>
      </c>
      <c r="N82" s="117">
        <v>280.62</v>
      </c>
      <c r="O82" s="61"/>
    </row>
    <row r="83" spans="1:15" s="13" customFormat="1" x14ac:dyDescent="0.2">
      <c r="A83" s="81"/>
      <c r="B83" s="91" t="s">
        <v>42</v>
      </c>
      <c r="C83" s="106">
        <v>5.3629999999999995</v>
      </c>
      <c r="D83" s="106">
        <v>5.3629999999999995</v>
      </c>
      <c r="E83" s="107">
        <v>5.3629999999999995</v>
      </c>
      <c r="F83" s="107">
        <v>5.3629999999999995</v>
      </c>
      <c r="G83" s="108">
        <v>5.3629999999999995</v>
      </c>
      <c r="H83" s="106">
        <v>5.3629999999999995</v>
      </c>
      <c r="I83" s="106">
        <v>5.3629999999999995</v>
      </c>
      <c r="J83" s="106">
        <v>5.3629999999999995</v>
      </c>
      <c r="K83" s="106">
        <v>5.3629999999999995</v>
      </c>
      <c r="L83" s="106">
        <v>6.1235300365250511</v>
      </c>
      <c r="M83" s="106">
        <v>6.1235300365250511</v>
      </c>
      <c r="N83" s="109">
        <v>6.1235300365250511</v>
      </c>
      <c r="O83" s="61"/>
    </row>
    <row r="84" spans="1:15" s="13" customFormat="1" ht="25.5" x14ac:dyDescent="0.2">
      <c r="A84" s="82"/>
      <c r="B84" s="87" t="s">
        <v>118</v>
      </c>
      <c r="C84" s="119">
        <f>SUM(C85:C86)</f>
        <v>1063691.4400000002</v>
      </c>
      <c r="D84" s="119">
        <f t="shared" ref="D84:N84" si="22">SUM(D85:D86)</f>
        <v>1007002.78</v>
      </c>
      <c r="E84" s="120">
        <f t="shared" si="22"/>
        <v>1062450.8899999999</v>
      </c>
      <c r="F84" s="120">
        <f t="shared" si="22"/>
        <v>1056190.19</v>
      </c>
      <c r="G84" s="119">
        <f t="shared" si="22"/>
        <v>1227142.22</v>
      </c>
      <c r="H84" s="119">
        <f t="shared" si="22"/>
        <v>1197387.5999999999</v>
      </c>
      <c r="I84" s="119">
        <f t="shared" si="22"/>
        <v>1200392.96</v>
      </c>
      <c r="J84" s="119">
        <f t="shared" si="22"/>
        <v>1192228.79</v>
      </c>
      <c r="K84" s="119">
        <f t="shared" si="22"/>
        <v>1192669.18</v>
      </c>
      <c r="L84" s="119">
        <f t="shared" si="22"/>
        <v>1225813.8399999999</v>
      </c>
      <c r="M84" s="119">
        <f t="shared" si="22"/>
        <v>1234126.6700000002</v>
      </c>
      <c r="N84" s="118">
        <f t="shared" si="22"/>
        <v>1233361.28</v>
      </c>
      <c r="O84" s="61"/>
    </row>
    <row r="85" spans="1:15" s="13" customFormat="1" ht="25.5" x14ac:dyDescent="0.2">
      <c r="A85" s="178"/>
      <c r="B85" s="91" t="s">
        <v>116</v>
      </c>
      <c r="C85" s="146">
        <v>850.58</v>
      </c>
      <c r="D85" s="146">
        <v>1150.1400000000001</v>
      </c>
      <c r="E85" s="99">
        <v>1178.98</v>
      </c>
      <c r="F85" s="99">
        <v>1377.28</v>
      </c>
      <c r="G85" s="147">
        <v>1386.94</v>
      </c>
      <c r="H85" s="146">
        <v>1354.18</v>
      </c>
      <c r="I85" s="146">
        <v>1251.6600000000001</v>
      </c>
      <c r="J85" s="146">
        <v>1551.11</v>
      </c>
      <c r="K85" s="146">
        <v>1608.71</v>
      </c>
      <c r="L85" s="146">
        <v>1250.6400000000001</v>
      </c>
      <c r="M85" s="146">
        <v>1067.3599999999999</v>
      </c>
      <c r="N85" s="158">
        <v>1060.92</v>
      </c>
      <c r="O85" s="61"/>
    </row>
    <row r="86" spans="1:15" s="13" customFormat="1" ht="26.25" thickBot="1" x14ac:dyDescent="0.25">
      <c r="A86" s="178"/>
      <c r="B86" s="90" t="s">
        <v>117</v>
      </c>
      <c r="C86" s="101">
        <v>1062840.8600000001</v>
      </c>
      <c r="D86" s="101">
        <v>1005852.64</v>
      </c>
      <c r="E86" s="102">
        <v>1061271.9099999999</v>
      </c>
      <c r="F86" s="102">
        <v>1054812.9099999999</v>
      </c>
      <c r="G86" s="157">
        <v>1225755.28</v>
      </c>
      <c r="H86" s="101">
        <v>1196033.42</v>
      </c>
      <c r="I86" s="101">
        <v>1199141.3</v>
      </c>
      <c r="J86" s="101">
        <v>1190677.68</v>
      </c>
      <c r="K86" s="101">
        <v>1191060.47</v>
      </c>
      <c r="L86" s="101">
        <v>1224563.2</v>
      </c>
      <c r="M86" s="101">
        <v>1233059.31</v>
      </c>
      <c r="N86" s="148">
        <v>1232300.3600000001</v>
      </c>
    </row>
    <row r="87" spans="1:15" s="13" customFormat="1" ht="26.25" thickBot="1" x14ac:dyDescent="0.25">
      <c r="A87" s="36" t="s">
        <v>36</v>
      </c>
      <c r="B87" s="37" t="s">
        <v>11</v>
      </c>
      <c r="C87" s="20"/>
      <c r="D87" s="20"/>
      <c r="E87" s="21"/>
      <c r="F87" s="21"/>
      <c r="G87" s="66"/>
      <c r="H87" s="20"/>
      <c r="I87" s="20"/>
      <c r="J87" s="20"/>
      <c r="K87" s="20"/>
      <c r="L87" s="20"/>
      <c r="M87" s="20"/>
      <c r="N87" s="55"/>
    </row>
    <row r="88" spans="1:15" s="13" customFormat="1" ht="14.25" customHeight="1" x14ac:dyDescent="0.2">
      <c r="A88" s="85"/>
      <c r="B88" s="88" t="s">
        <v>61</v>
      </c>
      <c r="C88" s="159">
        <f>SUM(C89:C91)</f>
        <v>2413.5629999999996</v>
      </c>
      <c r="D88" s="159">
        <f t="shared" ref="D88:N88" si="23">SUM(D89:D91)</f>
        <v>2610.6429999999996</v>
      </c>
      <c r="E88" s="160">
        <f t="shared" si="23"/>
        <v>2619.3129999999996</v>
      </c>
      <c r="F88" s="160">
        <f t="shared" si="23"/>
        <v>2583.6429999999996</v>
      </c>
      <c r="G88" s="160">
        <f t="shared" si="23"/>
        <v>2561.4129999999996</v>
      </c>
      <c r="H88" s="160">
        <f t="shared" si="23"/>
        <v>2572.4429999999998</v>
      </c>
      <c r="I88" s="160">
        <f t="shared" si="23"/>
        <v>2828.1129999999998</v>
      </c>
      <c r="J88" s="160">
        <f t="shared" si="23"/>
        <v>2854.6729999999998</v>
      </c>
      <c r="K88" s="160">
        <f t="shared" si="23"/>
        <v>2803.4229999999998</v>
      </c>
      <c r="L88" s="160">
        <f t="shared" si="23"/>
        <v>2912.6735300365249</v>
      </c>
      <c r="M88" s="160">
        <f t="shared" si="23"/>
        <v>2965.553530036525</v>
      </c>
      <c r="N88" s="161">
        <f t="shared" si="23"/>
        <v>2916.6935300365249</v>
      </c>
    </row>
    <row r="89" spans="1:15" s="13" customFormat="1" x14ac:dyDescent="0.2">
      <c r="A89" s="25"/>
      <c r="B89" s="89" t="s">
        <v>113</v>
      </c>
      <c r="C89" s="101">
        <f t="shared" ref="C89:N89" si="24">C80</f>
        <v>2190.75</v>
      </c>
      <c r="D89" s="101">
        <f t="shared" si="24"/>
        <v>2387.83</v>
      </c>
      <c r="E89" s="102">
        <f t="shared" si="24"/>
        <v>2396.5</v>
      </c>
      <c r="F89" s="102">
        <f t="shared" si="24"/>
        <v>2360.83</v>
      </c>
      <c r="G89" s="157">
        <f t="shared" si="24"/>
        <v>2338.6</v>
      </c>
      <c r="H89" s="101">
        <f t="shared" si="24"/>
        <v>2349.63</v>
      </c>
      <c r="I89" s="101">
        <f t="shared" si="24"/>
        <v>2605.3000000000002</v>
      </c>
      <c r="J89" s="101">
        <f t="shared" si="24"/>
        <v>2631.86</v>
      </c>
      <c r="K89" s="101">
        <f t="shared" si="24"/>
        <v>2580.61</v>
      </c>
      <c r="L89" s="101">
        <f t="shared" si="24"/>
        <v>2625.93</v>
      </c>
      <c r="M89" s="101">
        <f t="shared" si="24"/>
        <v>2678.81</v>
      </c>
      <c r="N89" s="158">
        <f t="shared" si="24"/>
        <v>2629.95</v>
      </c>
    </row>
    <row r="90" spans="1:15" s="13" customFormat="1" x14ac:dyDescent="0.2">
      <c r="A90" s="40"/>
      <c r="B90" s="90" t="s">
        <v>9</v>
      </c>
      <c r="C90" s="114">
        <f t="shared" ref="C90:N90" si="25">C82</f>
        <v>217.45000000000002</v>
      </c>
      <c r="D90" s="114">
        <f t="shared" si="25"/>
        <v>217.45000000000002</v>
      </c>
      <c r="E90" s="115">
        <f t="shared" si="25"/>
        <v>217.45000000000002</v>
      </c>
      <c r="F90" s="115">
        <f t="shared" si="25"/>
        <v>217.45000000000002</v>
      </c>
      <c r="G90" s="121">
        <f t="shared" si="25"/>
        <v>217.45000000000002</v>
      </c>
      <c r="H90" s="115">
        <f t="shared" si="25"/>
        <v>217.45000000000002</v>
      </c>
      <c r="I90" s="115">
        <f t="shared" si="25"/>
        <v>217.45000000000002</v>
      </c>
      <c r="J90" s="115">
        <f t="shared" si="25"/>
        <v>217.45000000000002</v>
      </c>
      <c r="K90" s="115">
        <f t="shared" si="25"/>
        <v>217.45000000000002</v>
      </c>
      <c r="L90" s="115">
        <f t="shared" si="25"/>
        <v>280.62</v>
      </c>
      <c r="M90" s="115">
        <f t="shared" si="25"/>
        <v>280.62</v>
      </c>
      <c r="N90" s="122">
        <f t="shared" si="25"/>
        <v>280.62</v>
      </c>
    </row>
    <row r="91" spans="1:15" s="13" customFormat="1" x14ac:dyDescent="0.2">
      <c r="A91" s="81"/>
      <c r="B91" s="91" t="s">
        <v>42</v>
      </c>
      <c r="C91" s="106">
        <f t="shared" ref="C91:N91" si="26">C83</f>
        <v>5.3629999999999995</v>
      </c>
      <c r="D91" s="106">
        <f t="shared" si="26"/>
        <v>5.3629999999999995</v>
      </c>
      <c r="E91" s="107">
        <f t="shared" si="26"/>
        <v>5.3629999999999995</v>
      </c>
      <c r="F91" s="107">
        <f t="shared" si="26"/>
        <v>5.3629999999999995</v>
      </c>
      <c r="G91" s="108">
        <f t="shared" si="26"/>
        <v>5.3629999999999995</v>
      </c>
      <c r="H91" s="106">
        <f t="shared" si="26"/>
        <v>5.3629999999999995</v>
      </c>
      <c r="I91" s="106">
        <f t="shared" si="26"/>
        <v>5.3629999999999995</v>
      </c>
      <c r="J91" s="106">
        <f t="shared" si="26"/>
        <v>5.3629999999999995</v>
      </c>
      <c r="K91" s="106">
        <f t="shared" si="26"/>
        <v>5.3629999999999995</v>
      </c>
      <c r="L91" s="106">
        <f t="shared" si="26"/>
        <v>6.1235300365250511</v>
      </c>
      <c r="M91" s="106">
        <f t="shared" si="26"/>
        <v>6.1235300365250511</v>
      </c>
      <c r="N91" s="109">
        <f t="shared" si="26"/>
        <v>6.1235300365250511</v>
      </c>
    </row>
    <row r="92" spans="1:15" s="13" customFormat="1" ht="25.5" x14ac:dyDescent="0.2">
      <c r="A92" s="81"/>
      <c r="B92" s="87" t="s">
        <v>118</v>
      </c>
      <c r="C92" s="119">
        <f>SUM(C93:C94)</f>
        <v>1063691.4400000002</v>
      </c>
      <c r="D92" s="119">
        <f t="shared" ref="D92:N92" si="27">SUM(D93:D94)</f>
        <v>1007002.78</v>
      </c>
      <c r="E92" s="120">
        <f t="shared" si="27"/>
        <v>1062450.8899999999</v>
      </c>
      <c r="F92" s="120">
        <f t="shared" si="27"/>
        <v>1056190.19</v>
      </c>
      <c r="G92" s="119">
        <f t="shared" si="27"/>
        <v>1227142.22</v>
      </c>
      <c r="H92" s="119">
        <f t="shared" si="27"/>
        <v>1197387.5999999999</v>
      </c>
      <c r="I92" s="119">
        <f t="shared" si="27"/>
        <v>1200392.96</v>
      </c>
      <c r="J92" s="119">
        <f t="shared" si="27"/>
        <v>1192228.79</v>
      </c>
      <c r="K92" s="119">
        <f t="shared" si="27"/>
        <v>1192669.18</v>
      </c>
      <c r="L92" s="119">
        <f t="shared" si="27"/>
        <v>1225813.8399999999</v>
      </c>
      <c r="M92" s="119">
        <f t="shared" si="27"/>
        <v>1234126.6700000002</v>
      </c>
      <c r="N92" s="127">
        <f t="shared" si="27"/>
        <v>1233361.28</v>
      </c>
    </row>
    <row r="93" spans="1:15" s="13" customFormat="1" ht="25.5" x14ac:dyDescent="0.2">
      <c r="A93" s="81"/>
      <c r="B93" s="91" t="s">
        <v>116</v>
      </c>
      <c r="C93" s="146">
        <v>850.58</v>
      </c>
      <c r="D93" s="146">
        <v>1150.1400000000001</v>
      </c>
      <c r="E93" s="99">
        <v>1178.98</v>
      </c>
      <c r="F93" s="99">
        <v>1377.28</v>
      </c>
      <c r="G93" s="147">
        <v>1386.94</v>
      </c>
      <c r="H93" s="146">
        <v>1354.18</v>
      </c>
      <c r="I93" s="146">
        <v>1251.6600000000001</v>
      </c>
      <c r="J93" s="146">
        <v>1551.11</v>
      </c>
      <c r="K93" s="146">
        <v>1608.71</v>
      </c>
      <c r="L93" s="146">
        <v>1250.6400000000001</v>
      </c>
      <c r="M93" s="146">
        <v>1067.3599999999999</v>
      </c>
      <c r="N93" s="158">
        <v>1060.92</v>
      </c>
    </row>
    <row r="94" spans="1:15" s="13" customFormat="1" ht="26.25" thickBot="1" x14ac:dyDescent="0.25">
      <c r="A94" s="32"/>
      <c r="B94" s="186" t="s">
        <v>117</v>
      </c>
      <c r="C94" s="194">
        <v>1062840.8600000001</v>
      </c>
      <c r="D94" s="194">
        <v>1005852.64</v>
      </c>
      <c r="E94" s="173">
        <v>1061271.9099999999</v>
      </c>
      <c r="F94" s="173">
        <v>1054812.9099999999</v>
      </c>
      <c r="G94" s="195">
        <v>1225755.28</v>
      </c>
      <c r="H94" s="194">
        <v>1196033.42</v>
      </c>
      <c r="I94" s="194">
        <v>1199141.3</v>
      </c>
      <c r="J94" s="194">
        <v>1190677.68</v>
      </c>
      <c r="K94" s="194">
        <v>1191060.47</v>
      </c>
      <c r="L94" s="194">
        <v>1224563.2</v>
      </c>
      <c r="M94" s="194">
        <v>1233059.31</v>
      </c>
      <c r="N94" s="188">
        <v>1232300.3600000001</v>
      </c>
    </row>
    <row r="95" spans="1:15" ht="15" customHeight="1" x14ac:dyDescent="0.2"/>
    <row r="96" spans="1:15" ht="15" customHeight="1" x14ac:dyDescent="0.2"/>
    <row r="97" spans="1:15" ht="93" customHeight="1" x14ac:dyDescent="0.2">
      <c r="A97" s="200" t="s">
        <v>114</v>
      </c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69"/>
    </row>
    <row r="98" spans="1:15" ht="30" customHeight="1" x14ac:dyDescent="0.2">
      <c r="A98" s="199" t="s">
        <v>115</v>
      </c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</row>
  </sheetData>
  <mergeCells count="11">
    <mergeCell ref="D33:N33"/>
    <mergeCell ref="D55:N55"/>
    <mergeCell ref="D77:N77"/>
    <mergeCell ref="A97:N97"/>
    <mergeCell ref="A98:N98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30721" r:id="rId4">
          <objectPr defaultSize="0" autoPict="0" r:id="rId5">
            <anchor moveWithCells="1" sizeWithCells="1">
              <from>
                <xdr:col>1</xdr:col>
                <xdr:colOff>0</xdr:colOff>
                <xdr:row>95</xdr:row>
                <xdr:rowOff>0</xdr:rowOff>
              </from>
              <to>
                <xdr:col>1</xdr:col>
                <xdr:colOff>142875</xdr:colOff>
                <xdr:row>95</xdr:row>
                <xdr:rowOff>0</xdr:rowOff>
              </to>
            </anchor>
          </objectPr>
        </oleObject>
      </mc:Choice>
      <mc:Fallback>
        <oleObject progId="Equation.3" shapeId="30721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FFFF00"/>
  </sheetPr>
  <dimension ref="A1:P160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6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6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6" s="57" customFormat="1" ht="18" customHeight="1" x14ac:dyDescent="0.2">
      <c r="A3" s="205" t="s">
        <v>102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6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6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6" s="58" customFormat="1" ht="14.25" customHeight="1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6" s="58" customFormat="1" ht="34.5" customHeight="1" x14ac:dyDescent="0.25">
      <c r="A7" s="206" t="s">
        <v>63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6" s="59" customFormat="1" ht="17.25" customHeight="1" x14ac:dyDescent="0.2">
      <c r="A8" s="8"/>
      <c r="B8" s="137"/>
      <c r="C8" s="137"/>
      <c r="D8" s="137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6" s="59" customFormat="1" ht="21" customHeight="1" thickBot="1" x14ac:dyDescent="0.25">
      <c r="A9" s="7" t="s">
        <v>86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6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6" s="17" customFormat="1" ht="21" customHeight="1" thickBot="1" x14ac:dyDescent="0.25">
      <c r="A11" s="14" t="s">
        <v>4</v>
      </c>
      <c r="B11" s="15" t="s">
        <v>5</v>
      </c>
      <c r="C11" s="135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6" s="17" customFormat="1" ht="13.5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6" s="13" customFormat="1" ht="15" customHeight="1" x14ac:dyDescent="0.2">
      <c r="A13" s="80"/>
      <c r="B13" s="86" t="s">
        <v>61</v>
      </c>
      <c r="C13" s="155">
        <f>SUM(C14:C17)</f>
        <v>2520.6329999999998</v>
      </c>
      <c r="D13" s="155">
        <f t="shared" ref="D13:N13" si="0">SUM(D14:D17)</f>
        <v>2717.7129999999997</v>
      </c>
      <c r="E13" s="156">
        <f t="shared" si="0"/>
        <v>2726.3829999999998</v>
      </c>
      <c r="F13" s="156">
        <f t="shared" si="0"/>
        <v>2690.7129999999997</v>
      </c>
      <c r="G13" s="156">
        <f t="shared" si="0"/>
        <v>2668.4829999999997</v>
      </c>
      <c r="H13" s="156">
        <f t="shared" si="0"/>
        <v>2679.5129999999999</v>
      </c>
      <c r="I13" s="156">
        <f t="shared" si="0"/>
        <v>2935.183</v>
      </c>
      <c r="J13" s="156">
        <f t="shared" si="0"/>
        <v>2961.7429999999999</v>
      </c>
      <c r="K13" s="156">
        <f t="shared" si="0"/>
        <v>2910.4929999999999</v>
      </c>
      <c r="L13" s="156">
        <f t="shared" si="0"/>
        <v>3036.013530036525</v>
      </c>
      <c r="M13" s="156">
        <f t="shared" si="0"/>
        <v>3088.8935300365251</v>
      </c>
      <c r="N13" s="156">
        <f t="shared" si="0"/>
        <v>3040.033530036525</v>
      </c>
      <c r="O13" s="61"/>
      <c r="P13" s="17"/>
    </row>
    <row r="14" spans="1:16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6" s="13" customFormat="1" ht="15" customHeight="1" x14ac:dyDescent="0.2">
      <c r="A15" s="25"/>
      <c r="B15" s="90" t="s">
        <v>64</v>
      </c>
      <c r="C15" s="114">
        <v>107.07</v>
      </c>
      <c r="D15" s="114">
        <v>107.07</v>
      </c>
      <c r="E15" s="115">
        <v>107.07</v>
      </c>
      <c r="F15" s="115">
        <v>107.07</v>
      </c>
      <c r="G15" s="116">
        <v>107.07</v>
      </c>
      <c r="H15" s="114">
        <v>107.07</v>
      </c>
      <c r="I15" s="114">
        <v>107.07</v>
      </c>
      <c r="J15" s="114">
        <v>107.07</v>
      </c>
      <c r="K15" s="114">
        <v>107.07</v>
      </c>
      <c r="L15" s="114">
        <v>123.34</v>
      </c>
      <c r="M15" s="114">
        <v>123.34</v>
      </c>
      <c r="N15" s="117">
        <v>123.34</v>
      </c>
      <c r="O15" s="61"/>
    </row>
    <row r="16" spans="1:16" s="13" customFormat="1" ht="15" customHeight="1" x14ac:dyDescent="0.2">
      <c r="A16" s="29"/>
      <c r="B16" s="89" t="s">
        <v>9</v>
      </c>
      <c r="C16" s="114">
        <v>217.45000000000002</v>
      </c>
      <c r="D16" s="114">
        <v>217.45000000000002</v>
      </c>
      <c r="E16" s="115">
        <v>217.45000000000002</v>
      </c>
      <c r="F16" s="115">
        <v>217.45000000000002</v>
      </c>
      <c r="G16" s="116">
        <v>217.45000000000002</v>
      </c>
      <c r="H16" s="114">
        <v>217.45000000000002</v>
      </c>
      <c r="I16" s="114">
        <v>217.45000000000002</v>
      </c>
      <c r="J16" s="114">
        <v>217.45000000000002</v>
      </c>
      <c r="K16" s="114">
        <v>217.45000000000002</v>
      </c>
      <c r="L16" s="114">
        <v>280.62</v>
      </c>
      <c r="M16" s="114">
        <v>280.62</v>
      </c>
      <c r="N16" s="117">
        <v>280.62</v>
      </c>
      <c r="O16" s="61"/>
    </row>
    <row r="17" spans="1:16" s="13" customForma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6" s="13" customFormat="1" ht="25.5" x14ac:dyDescent="0.2">
      <c r="A18" s="82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9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18">
        <f t="shared" si="1"/>
        <v>1233361.28</v>
      </c>
    </row>
    <row r="19" spans="1:16" s="13" customFormat="1" ht="25.5" x14ac:dyDescent="0.2">
      <c r="A19" s="178"/>
      <c r="B19" s="91" t="s">
        <v>116</v>
      </c>
      <c r="C19" s="146">
        <v>850.58</v>
      </c>
      <c r="D19" s="146">
        <v>1150.1400000000001</v>
      </c>
      <c r="E19" s="99">
        <v>1178.98</v>
      </c>
      <c r="F19" s="99">
        <v>1377.28</v>
      </c>
      <c r="G19" s="147">
        <v>1386.94</v>
      </c>
      <c r="H19" s="146">
        <v>1354.18</v>
      </c>
      <c r="I19" s="146">
        <v>1251.6600000000001</v>
      </c>
      <c r="J19" s="146">
        <v>1551.11</v>
      </c>
      <c r="K19" s="146">
        <v>1608.71</v>
      </c>
      <c r="L19" s="146">
        <v>1250.6400000000001</v>
      </c>
      <c r="M19" s="146">
        <v>1067.3599999999999</v>
      </c>
      <c r="N19" s="158">
        <v>1060.92</v>
      </c>
    </row>
    <row r="20" spans="1:16" s="13" customFormat="1" ht="25.5" x14ac:dyDescent="0.2">
      <c r="A20" s="178"/>
      <c r="B20" s="90" t="s">
        <v>117</v>
      </c>
      <c r="C20" s="196">
        <v>1062840.8600000001</v>
      </c>
      <c r="D20" s="196">
        <v>1005852.64</v>
      </c>
      <c r="E20" s="103">
        <v>1061271.9099999999</v>
      </c>
      <c r="F20" s="103">
        <v>1054812.9099999999</v>
      </c>
      <c r="G20" s="197">
        <v>1225755.28</v>
      </c>
      <c r="H20" s="196">
        <v>1196033.42</v>
      </c>
      <c r="I20" s="196">
        <v>1199141.3</v>
      </c>
      <c r="J20" s="196">
        <v>1190677.68</v>
      </c>
      <c r="K20" s="196">
        <v>1191060.47</v>
      </c>
      <c r="L20" s="196">
        <v>1224563.2</v>
      </c>
      <c r="M20" s="101">
        <v>1233059.31</v>
      </c>
      <c r="N20" s="148">
        <v>1232300.3600000001</v>
      </c>
    </row>
    <row r="21" spans="1:16" s="13" customFormat="1" ht="26.25" thickBot="1" x14ac:dyDescent="0.25">
      <c r="A21" s="84"/>
      <c r="B21" s="191" t="s">
        <v>65</v>
      </c>
      <c r="C21" s="128">
        <v>1067251.07</v>
      </c>
      <c r="D21" s="129">
        <v>1067251.07</v>
      </c>
      <c r="E21" s="130">
        <v>1067251.07</v>
      </c>
      <c r="F21" s="130">
        <v>1067251.07</v>
      </c>
      <c r="G21" s="131">
        <v>1067251.07</v>
      </c>
      <c r="H21" s="128">
        <v>1067251.07</v>
      </c>
      <c r="I21" s="129">
        <v>1067251.07</v>
      </c>
      <c r="J21" s="128">
        <v>1067251.07</v>
      </c>
      <c r="K21" s="129">
        <v>1067251.07</v>
      </c>
      <c r="L21" s="128">
        <v>1241212.99</v>
      </c>
      <c r="M21" s="123">
        <v>1241212.99</v>
      </c>
      <c r="N21" s="132">
        <v>1241212.99</v>
      </c>
    </row>
    <row r="22" spans="1:16" s="13" customFormat="1" ht="26.25" thickBot="1" x14ac:dyDescent="0.25">
      <c r="A22" s="36" t="s">
        <v>10</v>
      </c>
      <c r="B22" s="37" t="s">
        <v>11</v>
      </c>
      <c r="C22" s="20"/>
      <c r="D22" s="20"/>
      <c r="E22" s="21"/>
      <c r="F22" s="21"/>
      <c r="G22" s="66"/>
      <c r="H22" s="20"/>
      <c r="I22" s="20"/>
      <c r="J22" s="20"/>
      <c r="K22" s="20"/>
      <c r="L22" s="20"/>
      <c r="M22" s="20"/>
      <c r="N22" s="55"/>
    </row>
    <row r="23" spans="1:16" s="13" customFormat="1" ht="14.25" customHeight="1" x14ac:dyDescent="0.2">
      <c r="A23" s="85"/>
      <c r="B23" s="88" t="s">
        <v>61</v>
      </c>
      <c r="C23" s="159">
        <f>SUM(C24:C26)</f>
        <v>2413.5629999999996</v>
      </c>
      <c r="D23" s="159">
        <f t="shared" ref="D23:N23" si="2">SUM(D24:D26)</f>
        <v>2610.6429999999996</v>
      </c>
      <c r="E23" s="160">
        <f t="shared" si="2"/>
        <v>2619.3129999999996</v>
      </c>
      <c r="F23" s="160">
        <f t="shared" si="2"/>
        <v>2583.6429999999996</v>
      </c>
      <c r="G23" s="160">
        <f t="shared" si="2"/>
        <v>2561.4129999999996</v>
      </c>
      <c r="H23" s="160">
        <f t="shared" si="2"/>
        <v>2572.4429999999998</v>
      </c>
      <c r="I23" s="160">
        <f t="shared" si="2"/>
        <v>2828.1129999999998</v>
      </c>
      <c r="J23" s="160">
        <f t="shared" si="2"/>
        <v>2854.6729999999998</v>
      </c>
      <c r="K23" s="160">
        <f t="shared" si="2"/>
        <v>2803.4229999999998</v>
      </c>
      <c r="L23" s="160">
        <f t="shared" si="2"/>
        <v>2912.6735300365249</v>
      </c>
      <c r="M23" s="160">
        <f t="shared" si="2"/>
        <v>2965.553530036525</v>
      </c>
      <c r="N23" s="161">
        <f t="shared" si="2"/>
        <v>2916.6935300365249</v>
      </c>
    </row>
    <row r="24" spans="1:16" s="13" customFormat="1" x14ac:dyDescent="0.2">
      <c r="A24" s="25"/>
      <c r="B24" s="89" t="s">
        <v>113</v>
      </c>
      <c r="C24" s="101">
        <f>C14</f>
        <v>2190.75</v>
      </c>
      <c r="D24" s="101">
        <f t="shared" ref="D24:N24" si="3">D14</f>
        <v>2387.83</v>
      </c>
      <c r="E24" s="102">
        <f t="shared" si="3"/>
        <v>2396.5</v>
      </c>
      <c r="F24" s="102">
        <f t="shared" si="3"/>
        <v>2360.83</v>
      </c>
      <c r="G24" s="157">
        <f t="shared" si="3"/>
        <v>2338.6</v>
      </c>
      <c r="H24" s="101">
        <f t="shared" si="3"/>
        <v>2349.63</v>
      </c>
      <c r="I24" s="101">
        <f t="shared" si="3"/>
        <v>2605.3000000000002</v>
      </c>
      <c r="J24" s="101">
        <f t="shared" si="3"/>
        <v>2631.86</v>
      </c>
      <c r="K24" s="101">
        <f t="shared" si="3"/>
        <v>2580.61</v>
      </c>
      <c r="L24" s="101">
        <f t="shared" si="3"/>
        <v>2625.93</v>
      </c>
      <c r="M24" s="101">
        <f t="shared" si="3"/>
        <v>2678.81</v>
      </c>
      <c r="N24" s="158">
        <f t="shared" si="3"/>
        <v>2629.95</v>
      </c>
    </row>
    <row r="25" spans="1:16" s="13" customFormat="1" x14ac:dyDescent="0.2">
      <c r="A25" s="40"/>
      <c r="B25" s="90" t="s">
        <v>9</v>
      </c>
      <c r="C25" s="114">
        <f t="shared" ref="C25:N25" si="4">C16</f>
        <v>217.45000000000002</v>
      </c>
      <c r="D25" s="114">
        <f t="shared" si="4"/>
        <v>217.45000000000002</v>
      </c>
      <c r="E25" s="115">
        <f t="shared" si="4"/>
        <v>217.45000000000002</v>
      </c>
      <c r="F25" s="115">
        <f t="shared" si="4"/>
        <v>217.45000000000002</v>
      </c>
      <c r="G25" s="121">
        <f t="shared" si="4"/>
        <v>217.45000000000002</v>
      </c>
      <c r="H25" s="115">
        <f t="shared" si="4"/>
        <v>217.45000000000002</v>
      </c>
      <c r="I25" s="115">
        <f t="shared" si="4"/>
        <v>217.45000000000002</v>
      </c>
      <c r="J25" s="115">
        <f t="shared" si="4"/>
        <v>217.45000000000002</v>
      </c>
      <c r="K25" s="115">
        <f t="shared" si="4"/>
        <v>217.45000000000002</v>
      </c>
      <c r="L25" s="115">
        <f t="shared" si="4"/>
        <v>280.62</v>
      </c>
      <c r="M25" s="115">
        <f t="shared" si="4"/>
        <v>280.62</v>
      </c>
      <c r="N25" s="122">
        <f t="shared" si="4"/>
        <v>280.62</v>
      </c>
    </row>
    <row r="26" spans="1:16" s="13" customFormat="1" x14ac:dyDescent="0.2">
      <c r="A26" s="81"/>
      <c r="B26" s="91" t="s">
        <v>42</v>
      </c>
      <c r="C26" s="106">
        <f t="shared" ref="C26:N26" si="5">C17</f>
        <v>5.3629999999999995</v>
      </c>
      <c r="D26" s="106">
        <f t="shared" si="5"/>
        <v>5.3629999999999995</v>
      </c>
      <c r="E26" s="107">
        <f t="shared" si="5"/>
        <v>5.3629999999999995</v>
      </c>
      <c r="F26" s="107">
        <f t="shared" si="5"/>
        <v>5.3629999999999995</v>
      </c>
      <c r="G26" s="108">
        <f t="shared" si="5"/>
        <v>5.3629999999999995</v>
      </c>
      <c r="H26" s="106">
        <f t="shared" si="5"/>
        <v>5.3629999999999995</v>
      </c>
      <c r="I26" s="106">
        <f t="shared" si="5"/>
        <v>5.3629999999999995</v>
      </c>
      <c r="J26" s="106">
        <f t="shared" si="5"/>
        <v>5.3629999999999995</v>
      </c>
      <c r="K26" s="106">
        <f t="shared" si="5"/>
        <v>5.3629999999999995</v>
      </c>
      <c r="L26" s="106">
        <f t="shared" si="5"/>
        <v>6.1235300365250511</v>
      </c>
      <c r="M26" s="106">
        <f t="shared" si="5"/>
        <v>6.1235300365250511</v>
      </c>
      <c r="N26" s="109">
        <f t="shared" si="5"/>
        <v>6.1235300365250511</v>
      </c>
    </row>
    <row r="27" spans="1:16" s="13" customFormat="1" ht="25.5" x14ac:dyDescent="0.2">
      <c r="A27" s="82"/>
      <c r="B27" s="87" t="s">
        <v>118</v>
      </c>
      <c r="C27" s="119">
        <f>SUM(C28:C29)</f>
        <v>1063691.4400000002</v>
      </c>
      <c r="D27" s="119">
        <f t="shared" ref="D27:N27" si="6">SUM(D28:D29)</f>
        <v>1007002.78</v>
      </c>
      <c r="E27" s="120">
        <f t="shared" si="6"/>
        <v>1062450.8899999999</v>
      </c>
      <c r="F27" s="120">
        <f t="shared" si="6"/>
        <v>1056190.19</v>
      </c>
      <c r="G27" s="119">
        <f t="shared" si="6"/>
        <v>1227142.22</v>
      </c>
      <c r="H27" s="119">
        <f t="shared" si="6"/>
        <v>1197387.5999999999</v>
      </c>
      <c r="I27" s="119">
        <f t="shared" si="6"/>
        <v>1200392.96</v>
      </c>
      <c r="J27" s="119">
        <f t="shared" si="6"/>
        <v>1192228.79</v>
      </c>
      <c r="K27" s="119">
        <f t="shared" si="6"/>
        <v>1192669.18</v>
      </c>
      <c r="L27" s="119">
        <f t="shared" si="6"/>
        <v>1225813.8399999999</v>
      </c>
      <c r="M27" s="119">
        <f t="shared" si="6"/>
        <v>1234126.6700000002</v>
      </c>
      <c r="N27" s="118">
        <f t="shared" si="6"/>
        <v>1233361.28</v>
      </c>
    </row>
    <row r="28" spans="1:16" s="13" customFormat="1" ht="25.5" x14ac:dyDescent="0.2">
      <c r="A28" s="178"/>
      <c r="B28" s="91" t="s">
        <v>116</v>
      </c>
      <c r="C28" s="146">
        <v>850.58</v>
      </c>
      <c r="D28" s="146">
        <v>1150.1400000000001</v>
      </c>
      <c r="E28" s="99">
        <v>1178.98</v>
      </c>
      <c r="F28" s="99">
        <v>1377.28</v>
      </c>
      <c r="G28" s="147">
        <v>1386.94</v>
      </c>
      <c r="H28" s="146">
        <v>1354.18</v>
      </c>
      <c r="I28" s="146">
        <v>1251.6600000000001</v>
      </c>
      <c r="J28" s="146">
        <v>1551.11</v>
      </c>
      <c r="K28" s="146">
        <v>1608.71</v>
      </c>
      <c r="L28" s="146">
        <v>1250.6400000000001</v>
      </c>
      <c r="M28" s="146">
        <v>1067.3599999999999</v>
      </c>
      <c r="N28" s="158">
        <v>1060.92</v>
      </c>
    </row>
    <row r="29" spans="1:16" s="13" customFormat="1" ht="26.25" thickBot="1" x14ac:dyDescent="0.25">
      <c r="A29" s="178"/>
      <c r="B29" s="90" t="s">
        <v>117</v>
      </c>
      <c r="C29" s="101">
        <v>1062840.8600000001</v>
      </c>
      <c r="D29" s="101">
        <v>1005852.64</v>
      </c>
      <c r="E29" s="102">
        <v>1061271.9099999999</v>
      </c>
      <c r="F29" s="102">
        <v>1054812.9099999999</v>
      </c>
      <c r="G29" s="157">
        <v>1225755.28</v>
      </c>
      <c r="H29" s="101">
        <v>1196033.42</v>
      </c>
      <c r="I29" s="101">
        <v>1199141.3</v>
      </c>
      <c r="J29" s="101">
        <v>1190677.68</v>
      </c>
      <c r="K29" s="101">
        <v>1191060.47</v>
      </c>
      <c r="L29" s="101">
        <v>1224563.2</v>
      </c>
      <c r="M29" s="101">
        <v>1233059.31</v>
      </c>
      <c r="N29" s="148">
        <v>1232300.3600000001</v>
      </c>
      <c r="P29" s="60"/>
    </row>
    <row r="30" spans="1:16" s="13" customFormat="1" ht="15" thickBot="1" x14ac:dyDescent="0.25">
      <c r="A30" s="36" t="s">
        <v>89</v>
      </c>
      <c r="B30" s="37" t="s">
        <v>66</v>
      </c>
      <c r="C30" s="20"/>
      <c r="D30" s="20"/>
      <c r="E30" s="21"/>
      <c r="F30" s="21"/>
      <c r="G30" s="66"/>
      <c r="H30" s="20"/>
      <c r="I30" s="20"/>
      <c r="J30" s="20"/>
      <c r="K30" s="20"/>
      <c r="L30" s="20"/>
      <c r="M30" s="20"/>
      <c r="N30" s="55"/>
    </row>
    <row r="31" spans="1:16" s="13" customFormat="1" ht="14.25" customHeight="1" x14ac:dyDescent="0.2">
      <c r="A31" s="85"/>
      <c r="B31" s="88" t="s">
        <v>61</v>
      </c>
      <c r="C31" s="159">
        <f>SUM(C32:C34)</f>
        <v>2413.5629999999996</v>
      </c>
      <c r="D31" s="159">
        <f t="shared" ref="D31:N31" si="7">SUM(D32:D34)</f>
        <v>2610.6429999999996</v>
      </c>
      <c r="E31" s="160">
        <f t="shared" si="7"/>
        <v>2619.3129999999996</v>
      </c>
      <c r="F31" s="160">
        <f t="shared" si="7"/>
        <v>2583.6429999999996</v>
      </c>
      <c r="G31" s="160">
        <f t="shared" si="7"/>
        <v>2561.4129999999996</v>
      </c>
      <c r="H31" s="160">
        <f t="shared" si="7"/>
        <v>2572.4429999999998</v>
      </c>
      <c r="I31" s="160">
        <f t="shared" si="7"/>
        <v>2828.1129999999998</v>
      </c>
      <c r="J31" s="160">
        <f t="shared" si="7"/>
        <v>2854.6729999999998</v>
      </c>
      <c r="K31" s="160">
        <f t="shared" si="7"/>
        <v>2803.4229999999998</v>
      </c>
      <c r="L31" s="160">
        <f t="shared" si="7"/>
        <v>2912.6735300365249</v>
      </c>
      <c r="M31" s="160">
        <f t="shared" si="7"/>
        <v>2965.553530036525</v>
      </c>
      <c r="N31" s="161">
        <f t="shared" si="7"/>
        <v>2916.6935300365249</v>
      </c>
    </row>
    <row r="32" spans="1:16" s="13" customFormat="1" x14ac:dyDescent="0.2">
      <c r="A32" s="25"/>
      <c r="B32" s="89" t="s">
        <v>113</v>
      </c>
      <c r="C32" s="101">
        <f t="shared" ref="C32:N32" si="8">C14</f>
        <v>2190.75</v>
      </c>
      <c r="D32" s="101">
        <f t="shared" si="8"/>
        <v>2387.83</v>
      </c>
      <c r="E32" s="102">
        <f t="shared" si="8"/>
        <v>2396.5</v>
      </c>
      <c r="F32" s="102">
        <f t="shared" si="8"/>
        <v>2360.83</v>
      </c>
      <c r="G32" s="157">
        <f t="shared" si="8"/>
        <v>2338.6</v>
      </c>
      <c r="H32" s="101">
        <f t="shared" si="8"/>
        <v>2349.63</v>
      </c>
      <c r="I32" s="101">
        <f t="shared" si="8"/>
        <v>2605.3000000000002</v>
      </c>
      <c r="J32" s="101">
        <f t="shared" si="8"/>
        <v>2631.86</v>
      </c>
      <c r="K32" s="101">
        <f t="shared" si="8"/>
        <v>2580.61</v>
      </c>
      <c r="L32" s="101">
        <f t="shared" si="8"/>
        <v>2625.93</v>
      </c>
      <c r="M32" s="101">
        <f t="shared" si="8"/>
        <v>2678.81</v>
      </c>
      <c r="N32" s="158">
        <f t="shared" si="8"/>
        <v>2629.95</v>
      </c>
    </row>
    <row r="33" spans="1:15" s="13" customFormat="1" x14ac:dyDescent="0.2">
      <c r="A33" s="40"/>
      <c r="B33" s="90" t="s">
        <v>9</v>
      </c>
      <c r="C33" s="114">
        <f t="shared" ref="C33:N33" si="9">C16</f>
        <v>217.45000000000002</v>
      </c>
      <c r="D33" s="114">
        <f t="shared" si="9"/>
        <v>217.45000000000002</v>
      </c>
      <c r="E33" s="115">
        <f t="shared" si="9"/>
        <v>217.45000000000002</v>
      </c>
      <c r="F33" s="115">
        <f t="shared" si="9"/>
        <v>217.45000000000002</v>
      </c>
      <c r="G33" s="121">
        <f t="shared" si="9"/>
        <v>217.45000000000002</v>
      </c>
      <c r="H33" s="115">
        <f t="shared" si="9"/>
        <v>217.45000000000002</v>
      </c>
      <c r="I33" s="115">
        <f t="shared" si="9"/>
        <v>217.45000000000002</v>
      </c>
      <c r="J33" s="115">
        <f t="shared" si="9"/>
        <v>217.45000000000002</v>
      </c>
      <c r="K33" s="115">
        <f t="shared" si="9"/>
        <v>217.45000000000002</v>
      </c>
      <c r="L33" s="115">
        <f t="shared" si="9"/>
        <v>280.62</v>
      </c>
      <c r="M33" s="115">
        <f t="shared" si="9"/>
        <v>280.62</v>
      </c>
      <c r="N33" s="122">
        <f t="shared" si="9"/>
        <v>280.62</v>
      </c>
    </row>
    <row r="34" spans="1:15" s="13" customFormat="1" x14ac:dyDescent="0.2">
      <c r="A34" s="81"/>
      <c r="B34" s="91" t="s">
        <v>42</v>
      </c>
      <c r="C34" s="106">
        <f t="shared" ref="C34:N34" si="10">C17</f>
        <v>5.3629999999999995</v>
      </c>
      <c r="D34" s="106">
        <f t="shared" si="10"/>
        <v>5.3629999999999995</v>
      </c>
      <c r="E34" s="107">
        <f t="shared" si="10"/>
        <v>5.3629999999999995</v>
      </c>
      <c r="F34" s="107">
        <f t="shared" si="10"/>
        <v>5.3629999999999995</v>
      </c>
      <c r="G34" s="108">
        <f t="shared" si="10"/>
        <v>5.3629999999999995</v>
      </c>
      <c r="H34" s="106">
        <f t="shared" si="10"/>
        <v>5.3629999999999995</v>
      </c>
      <c r="I34" s="106">
        <f t="shared" si="10"/>
        <v>5.3629999999999995</v>
      </c>
      <c r="J34" s="106">
        <f t="shared" si="10"/>
        <v>5.3629999999999995</v>
      </c>
      <c r="K34" s="106">
        <f t="shared" si="10"/>
        <v>5.3629999999999995</v>
      </c>
      <c r="L34" s="106">
        <f t="shared" si="10"/>
        <v>6.1235300365250511</v>
      </c>
      <c r="M34" s="106">
        <f t="shared" si="10"/>
        <v>6.1235300365250511</v>
      </c>
      <c r="N34" s="109">
        <f t="shared" si="10"/>
        <v>6.1235300365250511</v>
      </c>
    </row>
    <row r="35" spans="1:15" s="13" customFormat="1" ht="25.5" x14ac:dyDescent="0.2">
      <c r="A35" s="82"/>
      <c r="B35" s="87" t="s">
        <v>118</v>
      </c>
      <c r="C35" s="119">
        <f>SUM(C36:C37)</f>
        <v>1063691.4400000002</v>
      </c>
      <c r="D35" s="119">
        <f t="shared" ref="D35:N35" si="11">SUM(D36:D37)</f>
        <v>1007002.78</v>
      </c>
      <c r="E35" s="120">
        <f t="shared" si="11"/>
        <v>1062450.8899999999</v>
      </c>
      <c r="F35" s="120">
        <f t="shared" si="11"/>
        <v>1056190.19</v>
      </c>
      <c r="G35" s="119">
        <f t="shared" si="11"/>
        <v>1227142.22</v>
      </c>
      <c r="H35" s="119">
        <f t="shared" si="11"/>
        <v>1197387.5999999999</v>
      </c>
      <c r="I35" s="119">
        <f t="shared" si="11"/>
        <v>1200392.96</v>
      </c>
      <c r="J35" s="119">
        <f t="shared" si="11"/>
        <v>1192228.79</v>
      </c>
      <c r="K35" s="119">
        <f t="shared" si="11"/>
        <v>1192669.18</v>
      </c>
      <c r="L35" s="119">
        <f t="shared" si="11"/>
        <v>1225813.8399999999</v>
      </c>
      <c r="M35" s="119">
        <f t="shared" si="11"/>
        <v>1234126.6700000002</v>
      </c>
      <c r="N35" s="118">
        <f t="shared" si="11"/>
        <v>1233361.28</v>
      </c>
    </row>
    <row r="36" spans="1:15" s="13" customFormat="1" ht="25.5" x14ac:dyDescent="0.2">
      <c r="A36" s="178"/>
      <c r="B36" s="91" t="s">
        <v>116</v>
      </c>
      <c r="C36" s="146">
        <v>850.58</v>
      </c>
      <c r="D36" s="146">
        <v>1150.1400000000001</v>
      </c>
      <c r="E36" s="99">
        <v>1178.98</v>
      </c>
      <c r="F36" s="99">
        <v>1377.28</v>
      </c>
      <c r="G36" s="147">
        <v>1386.94</v>
      </c>
      <c r="H36" s="146">
        <v>1354.18</v>
      </c>
      <c r="I36" s="146">
        <v>1251.6600000000001</v>
      </c>
      <c r="J36" s="146">
        <v>1551.11</v>
      </c>
      <c r="K36" s="146">
        <v>1608.71</v>
      </c>
      <c r="L36" s="146">
        <v>1250.6400000000001</v>
      </c>
      <c r="M36" s="146">
        <v>1067.3599999999999</v>
      </c>
      <c r="N36" s="158">
        <v>1060.92</v>
      </c>
    </row>
    <row r="37" spans="1:15" s="13" customFormat="1" ht="25.5" x14ac:dyDescent="0.2">
      <c r="A37" s="198"/>
      <c r="B37" s="90" t="s">
        <v>117</v>
      </c>
      <c r="C37" s="146">
        <v>1062840.8600000001</v>
      </c>
      <c r="D37" s="146">
        <v>1005852.64</v>
      </c>
      <c r="E37" s="99">
        <v>1061271.9099999999</v>
      </c>
      <c r="F37" s="99">
        <v>1054812.9099999999</v>
      </c>
      <c r="G37" s="147">
        <v>1225755.28</v>
      </c>
      <c r="H37" s="146">
        <v>1196033.42</v>
      </c>
      <c r="I37" s="146">
        <v>1199141.3</v>
      </c>
      <c r="J37" s="146">
        <v>1190677.68</v>
      </c>
      <c r="K37" s="146">
        <v>1191060.47</v>
      </c>
      <c r="L37" s="146">
        <v>1224563.2</v>
      </c>
      <c r="M37" s="146">
        <v>1233059.31</v>
      </c>
      <c r="N37" s="148">
        <v>1232300.3600000001</v>
      </c>
    </row>
    <row r="38" spans="1:15" s="13" customFormat="1" ht="26.25" thickBot="1" x14ac:dyDescent="0.25">
      <c r="A38" s="41"/>
      <c r="B38" s="93" t="s">
        <v>65</v>
      </c>
      <c r="C38" s="129">
        <f>C21</f>
        <v>1067251.07</v>
      </c>
      <c r="D38" s="129">
        <f t="shared" ref="D38:N38" si="12">D21</f>
        <v>1067251.07</v>
      </c>
      <c r="E38" s="130">
        <f t="shared" si="12"/>
        <v>1067251.07</v>
      </c>
      <c r="F38" s="130">
        <f t="shared" si="12"/>
        <v>1067251.07</v>
      </c>
      <c r="G38" s="133">
        <f t="shared" si="12"/>
        <v>1067251.07</v>
      </c>
      <c r="H38" s="129">
        <f t="shared" si="12"/>
        <v>1067251.07</v>
      </c>
      <c r="I38" s="129">
        <f t="shared" si="12"/>
        <v>1067251.07</v>
      </c>
      <c r="J38" s="129">
        <f t="shared" si="12"/>
        <v>1067251.07</v>
      </c>
      <c r="K38" s="129">
        <f t="shared" si="12"/>
        <v>1067251.07</v>
      </c>
      <c r="L38" s="129">
        <f t="shared" si="12"/>
        <v>1241212.99</v>
      </c>
      <c r="M38" s="129">
        <f t="shared" si="12"/>
        <v>1241212.99</v>
      </c>
      <c r="N38" s="134">
        <f t="shared" si="12"/>
        <v>1241212.99</v>
      </c>
    </row>
    <row r="39" spans="1:15" s="17" customFormat="1" ht="26.25" thickBot="1" x14ac:dyDescent="0.25">
      <c r="A39" s="18" t="s">
        <v>90</v>
      </c>
      <c r="B39" s="78" t="s">
        <v>68</v>
      </c>
      <c r="C39" s="20"/>
      <c r="D39" s="20"/>
      <c r="E39" s="21"/>
      <c r="F39" s="21"/>
      <c r="G39" s="63"/>
      <c r="H39" s="21"/>
      <c r="I39" s="21"/>
      <c r="J39" s="21"/>
      <c r="K39" s="21"/>
      <c r="L39" s="21"/>
      <c r="M39" s="21"/>
      <c r="N39" s="22"/>
      <c r="O39" s="61"/>
    </row>
    <row r="40" spans="1:15" s="13" customFormat="1" ht="15" customHeight="1" x14ac:dyDescent="0.2">
      <c r="A40" s="80"/>
      <c r="B40" s="86" t="s">
        <v>61</v>
      </c>
      <c r="C40" s="155">
        <f>SUM(C41:C44)</f>
        <v>2512.6678570849995</v>
      </c>
      <c r="D40" s="155">
        <f t="shared" ref="D40:N40" si="13">SUM(D41:D44)</f>
        <v>2709.7478570849994</v>
      </c>
      <c r="E40" s="156">
        <f t="shared" si="13"/>
        <v>2718.4178570849995</v>
      </c>
      <c r="F40" s="156">
        <f t="shared" si="13"/>
        <v>2682.7478570849994</v>
      </c>
      <c r="G40" s="156">
        <f t="shared" si="13"/>
        <v>2660.5178570849994</v>
      </c>
      <c r="H40" s="156">
        <f t="shared" si="13"/>
        <v>2671.5478570849996</v>
      </c>
      <c r="I40" s="156">
        <f t="shared" si="13"/>
        <v>2927.2178570849997</v>
      </c>
      <c r="J40" s="156">
        <f t="shared" si="13"/>
        <v>2953.7778570849996</v>
      </c>
      <c r="K40" s="156">
        <f t="shared" si="13"/>
        <v>2902.5278570849996</v>
      </c>
      <c r="L40" s="156">
        <f t="shared" si="13"/>
        <v>3027.6351560365247</v>
      </c>
      <c r="M40" s="156">
        <f t="shared" si="13"/>
        <v>3080.5151560365248</v>
      </c>
      <c r="N40" s="156">
        <f t="shared" si="13"/>
        <v>3031.6551560365247</v>
      </c>
      <c r="O40" s="61"/>
    </row>
    <row r="41" spans="1:15" s="13" customFormat="1" ht="15" customHeight="1" x14ac:dyDescent="0.2">
      <c r="A41" s="29"/>
      <c r="B41" s="89" t="s">
        <v>113</v>
      </c>
      <c r="C41" s="101">
        <v>2190.75</v>
      </c>
      <c r="D41" s="101">
        <v>2387.83</v>
      </c>
      <c r="E41" s="102">
        <v>2396.5</v>
      </c>
      <c r="F41" s="102">
        <v>2360.83</v>
      </c>
      <c r="G41" s="157">
        <v>2338.6</v>
      </c>
      <c r="H41" s="101">
        <v>2349.63</v>
      </c>
      <c r="I41" s="101">
        <v>2605.3000000000002</v>
      </c>
      <c r="J41" s="101">
        <v>2631.86</v>
      </c>
      <c r="K41" s="101">
        <v>2580.61</v>
      </c>
      <c r="L41" s="101">
        <v>2625.93</v>
      </c>
      <c r="M41" s="101">
        <v>2678.81</v>
      </c>
      <c r="N41" s="158">
        <v>2629.95</v>
      </c>
      <c r="O41" s="61"/>
    </row>
    <row r="42" spans="1:15" s="13" customFormat="1" ht="15" customHeight="1" x14ac:dyDescent="0.2">
      <c r="A42" s="25"/>
      <c r="B42" s="90" t="s">
        <v>64</v>
      </c>
      <c r="C42" s="27">
        <v>99.104857084999992</v>
      </c>
      <c r="D42" s="27">
        <v>99.104857084999992</v>
      </c>
      <c r="E42" s="28">
        <v>99.104857084999992</v>
      </c>
      <c r="F42" s="28">
        <v>99.104857084999992</v>
      </c>
      <c r="G42" s="64">
        <v>99.104857084999992</v>
      </c>
      <c r="H42" s="27">
        <v>99.104857084999992</v>
      </c>
      <c r="I42" s="27">
        <v>99.104857084999992</v>
      </c>
      <c r="J42" s="27">
        <v>99.104857084999992</v>
      </c>
      <c r="K42" s="27">
        <v>99.104857084999992</v>
      </c>
      <c r="L42" s="27">
        <v>114.961626</v>
      </c>
      <c r="M42" s="27">
        <v>114.961626</v>
      </c>
      <c r="N42" s="53">
        <v>114.961626</v>
      </c>
      <c r="O42" s="61"/>
    </row>
    <row r="43" spans="1:15" s="13" customFormat="1" ht="15" customHeight="1" x14ac:dyDescent="0.2">
      <c r="A43" s="29"/>
      <c r="B43" s="89" t="s">
        <v>9</v>
      </c>
      <c r="C43" s="114">
        <v>217.45000000000002</v>
      </c>
      <c r="D43" s="114">
        <v>217.45000000000002</v>
      </c>
      <c r="E43" s="115">
        <v>217.45000000000002</v>
      </c>
      <c r="F43" s="115">
        <v>217.45000000000002</v>
      </c>
      <c r="G43" s="116">
        <v>217.45000000000002</v>
      </c>
      <c r="H43" s="114">
        <v>217.45000000000002</v>
      </c>
      <c r="I43" s="114">
        <v>217.45000000000002</v>
      </c>
      <c r="J43" s="114">
        <v>217.45000000000002</v>
      </c>
      <c r="K43" s="114">
        <v>217.45000000000002</v>
      </c>
      <c r="L43" s="114">
        <v>280.62</v>
      </c>
      <c r="M43" s="114">
        <v>280.62</v>
      </c>
      <c r="N43" s="117">
        <v>280.62</v>
      </c>
      <c r="O43" s="61"/>
    </row>
    <row r="44" spans="1:15" s="13" customFormat="1" x14ac:dyDescent="0.2">
      <c r="A44" s="81"/>
      <c r="B44" s="91" t="s">
        <v>42</v>
      </c>
      <c r="C44" s="106">
        <v>5.3629999999999995</v>
      </c>
      <c r="D44" s="106">
        <v>5.3629999999999995</v>
      </c>
      <c r="E44" s="107">
        <v>5.3629999999999995</v>
      </c>
      <c r="F44" s="107">
        <v>5.3629999999999995</v>
      </c>
      <c r="G44" s="108">
        <v>5.3629999999999995</v>
      </c>
      <c r="H44" s="106">
        <v>5.3629999999999995</v>
      </c>
      <c r="I44" s="106">
        <v>5.3629999999999995</v>
      </c>
      <c r="J44" s="106">
        <v>5.3629999999999995</v>
      </c>
      <c r="K44" s="106">
        <v>5.3629999999999995</v>
      </c>
      <c r="L44" s="106">
        <v>6.1235300365250511</v>
      </c>
      <c r="M44" s="106">
        <v>6.1235300365250511</v>
      </c>
      <c r="N44" s="109">
        <v>6.1235300365250511</v>
      </c>
      <c r="O44" s="61"/>
    </row>
    <row r="45" spans="1:15" s="13" customFormat="1" ht="25.5" x14ac:dyDescent="0.2">
      <c r="A45" s="82"/>
      <c r="B45" s="87" t="s">
        <v>118</v>
      </c>
      <c r="C45" s="119">
        <f>SUM(C46:C47)</f>
        <v>1063691.4400000002</v>
      </c>
      <c r="D45" s="119">
        <f t="shared" ref="D45:N45" si="14">SUM(D46:D47)</f>
        <v>1007002.78</v>
      </c>
      <c r="E45" s="120">
        <f t="shared" si="14"/>
        <v>1062450.8899999999</v>
      </c>
      <c r="F45" s="120">
        <f t="shared" si="14"/>
        <v>1056190.19</v>
      </c>
      <c r="G45" s="119">
        <f t="shared" si="14"/>
        <v>1227142.22</v>
      </c>
      <c r="H45" s="119">
        <f t="shared" si="14"/>
        <v>1197387.5999999999</v>
      </c>
      <c r="I45" s="119">
        <f t="shared" si="14"/>
        <v>1200392.96</v>
      </c>
      <c r="J45" s="119">
        <f t="shared" si="14"/>
        <v>1192228.79</v>
      </c>
      <c r="K45" s="119">
        <f t="shared" si="14"/>
        <v>1192669.18</v>
      </c>
      <c r="L45" s="119">
        <f t="shared" si="14"/>
        <v>1225813.8399999999</v>
      </c>
      <c r="M45" s="119">
        <f t="shared" si="14"/>
        <v>1234126.6700000002</v>
      </c>
      <c r="N45" s="118">
        <f t="shared" si="14"/>
        <v>1233361.28</v>
      </c>
    </row>
    <row r="46" spans="1:15" s="13" customFormat="1" ht="25.5" x14ac:dyDescent="0.2">
      <c r="A46" s="178"/>
      <c r="B46" s="91" t="s">
        <v>116</v>
      </c>
      <c r="C46" s="146">
        <v>850.58</v>
      </c>
      <c r="D46" s="146">
        <v>1150.1400000000001</v>
      </c>
      <c r="E46" s="99">
        <v>1178.98</v>
      </c>
      <c r="F46" s="99">
        <v>1377.28</v>
      </c>
      <c r="G46" s="147">
        <v>1386.94</v>
      </c>
      <c r="H46" s="146">
        <v>1354.18</v>
      </c>
      <c r="I46" s="146">
        <v>1251.6600000000001</v>
      </c>
      <c r="J46" s="146">
        <v>1551.11</v>
      </c>
      <c r="K46" s="146">
        <v>1608.71</v>
      </c>
      <c r="L46" s="146">
        <v>1250.6400000000001</v>
      </c>
      <c r="M46" s="146">
        <v>1067.3599999999999</v>
      </c>
      <c r="N46" s="158">
        <v>1060.92</v>
      </c>
    </row>
    <row r="47" spans="1:15" s="13" customFormat="1" ht="25.5" x14ac:dyDescent="0.2">
      <c r="A47" s="178"/>
      <c r="B47" s="90" t="s">
        <v>117</v>
      </c>
      <c r="C47" s="146">
        <v>1062840.8600000001</v>
      </c>
      <c r="D47" s="146">
        <v>1005852.64</v>
      </c>
      <c r="E47" s="99">
        <v>1061271.9099999999</v>
      </c>
      <c r="F47" s="99">
        <v>1054812.9099999999</v>
      </c>
      <c r="G47" s="147">
        <v>1225755.28</v>
      </c>
      <c r="H47" s="146">
        <v>1196033.42</v>
      </c>
      <c r="I47" s="146">
        <v>1199141.3</v>
      </c>
      <c r="J47" s="146">
        <v>1190677.68</v>
      </c>
      <c r="K47" s="146">
        <v>1191060.47</v>
      </c>
      <c r="L47" s="146">
        <v>1224563.2</v>
      </c>
      <c r="M47" s="146">
        <v>1233059.31</v>
      </c>
      <c r="N47" s="148">
        <v>1232300.3600000001</v>
      </c>
    </row>
    <row r="48" spans="1:15" s="13" customFormat="1" ht="26.25" thickBot="1" x14ac:dyDescent="0.25">
      <c r="A48" s="84"/>
      <c r="B48" s="191" t="s">
        <v>65</v>
      </c>
      <c r="C48" s="128">
        <v>322592.31</v>
      </c>
      <c r="D48" s="129">
        <v>322592.31</v>
      </c>
      <c r="E48" s="130">
        <v>322592.31</v>
      </c>
      <c r="F48" s="130">
        <v>322592.31</v>
      </c>
      <c r="G48" s="131">
        <v>322592.31</v>
      </c>
      <c r="H48" s="128">
        <v>322592.31</v>
      </c>
      <c r="I48" s="129">
        <v>322592.31</v>
      </c>
      <c r="J48" s="128">
        <v>322592.31</v>
      </c>
      <c r="K48" s="129">
        <v>322592.31</v>
      </c>
      <c r="L48" s="128">
        <v>374207.08</v>
      </c>
      <c r="M48" s="129">
        <v>374207.08</v>
      </c>
      <c r="N48" s="132">
        <v>374207.08</v>
      </c>
    </row>
    <row r="49" spans="1:15" s="17" customFormat="1" ht="26.25" thickBot="1" x14ac:dyDescent="0.25">
      <c r="A49" s="18" t="s">
        <v>91</v>
      </c>
      <c r="B49" s="78" t="s">
        <v>69</v>
      </c>
      <c r="C49" s="20"/>
      <c r="D49" s="20"/>
      <c r="E49" s="21"/>
      <c r="F49" s="21"/>
      <c r="G49" s="63"/>
      <c r="H49" s="21"/>
      <c r="I49" s="21"/>
      <c r="J49" s="21"/>
      <c r="K49" s="21"/>
      <c r="L49" s="21"/>
      <c r="M49" s="21"/>
      <c r="N49" s="22"/>
      <c r="O49" s="61"/>
    </row>
    <row r="50" spans="1:15" s="13" customFormat="1" ht="14.25" customHeight="1" x14ac:dyDescent="0.2">
      <c r="A50" s="83"/>
      <c r="B50" s="86" t="s">
        <v>61</v>
      </c>
      <c r="C50" s="155">
        <f>SUM(C51:C54)</f>
        <v>2477.9680132249996</v>
      </c>
      <c r="D50" s="155">
        <f t="shared" ref="D50:N50" si="15">SUM(D51:D54)</f>
        <v>2675.0480132249995</v>
      </c>
      <c r="E50" s="156">
        <f t="shared" si="15"/>
        <v>2683.7180132249996</v>
      </c>
      <c r="F50" s="156">
        <f t="shared" si="15"/>
        <v>2648.0480132249995</v>
      </c>
      <c r="G50" s="156">
        <f t="shared" si="15"/>
        <v>2625.8180132249995</v>
      </c>
      <c r="H50" s="156">
        <f t="shared" si="15"/>
        <v>2636.8480132249997</v>
      </c>
      <c r="I50" s="156">
        <f t="shared" si="15"/>
        <v>2892.5180132249998</v>
      </c>
      <c r="J50" s="156">
        <f t="shared" si="15"/>
        <v>2919.0780132249997</v>
      </c>
      <c r="K50" s="156">
        <f t="shared" si="15"/>
        <v>2867.8280132249997</v>
      </c>
      <c r="L50" s="156">
        <f t="shared" si="15"/>
        <v>2987.3833400365247</v>
      </c>
      <c r="M50" s="156">
        <f t="shared" si="15"/>
        <v>3040.2633400365248</v>
      </c>
      <c r="N50" s="162">
        <f t="shared" si="15"/>
        <v>2991.4033400365247</v>
      </c>
      <c r="O50" s="61"/>
    </row>
    <row r="51" spans="1:15" s="13" customFormat="1" x14ac:dyDescent="0.2">
      <c r="A51" s="29"/>
      <c r="B51" s="89" t="s">
        <v>113</v>
      </c>
      <c r="C51" s="101">
        <v>2190.75</v>
      </c>
      <c r="D51" s="101">
        <v>2387.83</v>
      </c>
      <c r="E51" s="102">
        <v>2396.5</v>
      </c>
      <c r="F51" s="102">
        <v>2360.83</v>
      </c>
      <c r="G51" s="157">
        <v>2338.6</v>
      </c>
      <c r="H51" s="101">
        <v>2349.63</v>
      </c>
      <c r="I51" s="101">
        <v>2605.3000000000002</v>
      </c>
      <c r="J51" s="101">
        <v>2631.86</v>
      </c>
      <c r="K51" s="101">
        <v>2580.61</v>
      </c>
      <c r="L51" s="101">
        <v>2625.93</v>
      </c>
      <c r="M51" s="101">
        <v>2678.81</v>
      </c>
      <c r="N51" s="158">
        <v>2629.95</v>
      </c>
      <c r="O51" s="61"/>
    </row>
    <row r="52" spans="1:15" s="13" customFormat="1" x14ac:dyDescent="0.2">
      <c r="A52" s="25"/>
      <c r="B52" s="90" t="s">
        <v>64</v>
      </c>
      <c r="C52" s="27">
        <v>64.405013225000005</v>
      </c>
      <c r="D52" s="27">
        <v>64.405013225000005</v>
      </c>
      <c r="E52" s="28">
        <v>64.405013225000005</v>
      </c>
      <c r="F52" s="28">
        <v>64.405013225000005</v>
      </c>
      <c r="G52" s="64">
        <v>64.405013225000005</v>
      </c>
      <c r="H52" s="27">
        <v>64.405013225000005</v>
      </c>
      <c r="I52" s="27">
        <v>64.405013225000005</v>
      </c>
      <c r="J52" s="27">
        <v>64.405013225000005</v>
      </c>
      <c r="K52" s="27">
        <v>64.405013225000005</v>
      </c>
      <c r="L52" s="27">
        <v>74.709810000000004</v>
      </c>
      <c r="M52" s="27">
        <v>74.709810000000004</v>
      </c>
      <c r="N52" s="53">
        <v>74.709810000000004</v>
      </c>
      <c r="O52" s="61"/>
    </row>
    <row r="53" spans="1:15" s="13" customFormat="1" x14ac:dyDescent="0.2">
      <c r="A53" s="29"/>
      <c r="B53" s="89" t="s">
        <v>9</v>
      </c>
      <c r="C53" s="114">
        <v>217.45000000000002</v>
      </c>
      <c r="D53" s="114">
        <v>217.45000000000002</v>
      </c>
      <c r="E53" s="115">
        <v>217.45000000000002</v>
      </c>
      <c r="F53" s="115">
        <v>217.45000000000002</v>
      </c>
      <c r="G53" s="116">
        <v>217.45000000000002</v>
      </c>
      <c r="H53" s="114">
        <v>217.45000000000002</v>
      </c>
      <c r="I53" s="114">
        <v>217.45000000000002</v>
      </c>
      <c r="J53" s="114">
        <v>217.45000000000002</v>
      </c>
      <c r="K53" s="114">
        <v>217.45000000000002</v>
      </c>
      <c r="L53" s="114">
        <v>280.62</v>
      </c>
      <c r="M53" s="114">
        <v>280.62</v>
      </c>
      <c r="N53" s="117">
        <v>280.62</v>
      </c>
      <c r="O53" s="61"/>
    </row>
    <row r="54" spans="1:15" s="13" customFormat="1" x14ac:dyDescent="0.2">
      <c r="A54" s="81"/>
      <c r="B54" s="91" t="s">
        <v>42</v>
      </c>
      <c r="C54" s="106">
        <v>5.3629999999999995</v>
      </c>
      <c r="D54" s="106">
        <v>5.3629999999999995</v>
      </c>
      <c r="E54" s="107">
        <v>5.3629999999999995</v>
      </c>
      <c r="F54" s="107">
        <v>5.3629999999999995</v>
      </c>
      <c r="G54" s="108">
        <v>5.3629999999999995</v>
      </c>
      <c r="H54" s="106">
        <v>5.3629999999999995</v>
      </c>
      <c r="I54" s="106">
        <v>5.3629999999999995</v>
      </c>
      <c r="J54" s="106">
        <v>5.3629999999999995</v>
      </c>
      <c r="K54" s="106">
        <v>5.3629999999999995</v>
      </c>
      <c r="L54" s="106">
        <v>6.1235300365250511</v>
      </c>
      <c r="M54" s="106">
        <v>6.1235300365250511</v>
      </c>
      <c r="N54" s="109">
        <v>6.1235300365250511</v>
      </c>
      <c r="O54" s="61"/>
    </row>
    <row r="55" spans="1:15" s="13" customFormat="1" ht="25.5" x14ac:dyDescent="0.2">
      <c r="A55" s="82"/>
      <c r="B55" s="87" t="s">
        <v>118</v>
      </c>
      <c r="C55" s="119">
        <f>SUM(C56:C57)</f>
        <v>1063691.4400000002</v>
      </c>
      <c r="D55" s="119">
        <f t="shared" ref="D55:N55" si="16">SUM(D56:D57)</f>
        <v>1007002.78</v>
      </c>
      <c r="E55" s="120">
        <f t="shared" si="16"/>
        <v>1062450.8899999999</v>
      </c>
      <c r="F55" s="120">
        <f t="shared" si="16"/>
        <v>1056190.19</v>
      </c>
      <c r="G55" s="119">
        <f t="shared" si="16"/>
        <v>1227142.22</v>
      </c>
      <c r="H55" s="119">
        <f t="shared" si="16"/>
        <v>1197387.5999999999</v>
      </c>
      <c r="I55" s="119">
        <f t="shared" si="16"/>
        <v>1200392.96</v>
      </c>
      <c r="J55" s="119">
        <f t="shared" si="16"/>
        <v>1192228.79</v>
      </c>
      <c r="K55" s="119">
        <f t="shared" si="16"/>
        <v>1192669.18</v>
      </c>
      <c r="L55" s="119">
        <f t="shared" si="16"/>
        <v>1225813.8399999999</v>
      </c>
      <c r="M55" s="119">
        <f t="shared" si="16"/>
        <v>1234126.6700000002</v>
      </c>
      <c r="N55" s="118">
        <f t="shared" si="16"/>
        <v>1233361.28</v>
      </c>
    </row>
    <row r="56" spans="1:15" s="13" customFormat="1" ht="25.5" x14ac:dyDescent="0.2">
      <c r="A56" s="178"/>
      <c r="B56" s="91" t="s">
        <v>116</v>
      </c>
      <c r="C56" s="146">
        <v>850.58</v>
      </c>
      <c r="D56" s="146">
        <v>1150.1400000000001</v>
      </c>
      <c r="E56" s="99">
        <v>1178.98</v>
      </c>
      <c r="F56" s="99">
        <v>1377.28</v>
      </c>
      <c r="G56" s="147">
        <v>1386.94</v>
      </c>
      <c r="H56" s="146">
        <v>1354.18</v>
      </c>
      <c r="I56" s="146">
        <v>1251.6600000000001</v>
      </c>
      <c r="J56" s="146">
        <v>1551.11</v>
      </c>
      <c r="K56" s="146">
        <v>1608.71</v>
      </c>
      <c r="L56" s="146">
        <v>1250.6400000000001</v>
      </c>
      <c r="M56" s="146">
        <v>1067.3599999999999</v>
      </c>
      <c r="N56" s="158">
        <v>1060.92</v>
      </c>
    </row>
    <row r="57" spans="1:15" s="13" customFormat="1" ht="25.5" x14ac:dyDescent="0.2">
      <c r="A57" s="178"/>
      <c r="B57" s="90" t="s">
        <v>117</v>
      </c>
      <c r="C57" s="146">
        <v>1062840.8600000001</v>
      </c>
      <c r="D57" s="146">
        <v>1005852.64</v>
      </c>
      <c r="E57" s="99">
        <v>1061271.9099999999</v>
      </c>
      <c r="F57" s="99">
        <v>1054812.9099999999</v>
      </c>
      <c r="G57" s="147">
        <v>1225755.28</v>
      </c>
      <c r="H57" s="146">
        <v>1196033.42</v>
      </c>
      <c r="I57" s="146">
        <v>1199141.3</v>
      </c>
      <c r="J57" s="146">
        <v>1190677.68</v>
      </c>
      <c r="K57" s="146">
        <v>1191060.47</v>
      </c>
      <c r="L57" s="146">
        <v>1224563.2</v>
      </c>
      <c r="M57" s="146">
        <v>1233059.31</v>
      </c>
      <c r="N57" s="148">
        <v>1232300.3600000001</v>
      </c>
    </row>
    <row r="58" spans="1:15" s="13" customFormat="1" ht="26.25" thickBot="1" x14ac:dyDescent="0.25">
      <c r="A58" s="32"/>
      <c r="B58" s="93" t="s">
        <v>65</v>
      </c>
      <c r="C58" s="129">
        <v>322592.31</v>
      </c>
      <c r="D58" s="129">
        <v>322592.31</v>
      </c>
      <c r="E58" s="130">
        <v>322592.31</v>
      </c>
      <c r="F58" s="130">
        <v>322592.31</v>
      </c>
      <c r="G58" s="133">
        <v>322592.31</v>
      </c>
      <c r="H58" s="129">
        <v>322592.31</v>
      </c>
      <c r="I58" s="129">
        <v>322592.31</v>
      </c>
      <c r="J58" s="129">
        <v>322592.31</v>
      </c>
      <c r="K58" s="129">
        <v>322592.31</v>
      </c>
      <c r="L58" s="129">
        <v>374207.08</v>
      </c>
      <c r="M58" s="129">
        <v>374207.08</v>
      </c>
      <c r="N58" s="134">
        <v>374207.08</v>
      </c>
    </row>
    <row r="59" spans="1:15" s="13" customFormat="1" x14ac:dyDescent="0.2">
      <c r="A59" s="45"/>
      <c r="B59" s="95"/>
      <c r="C59" s="47"/>
      <c r="D59" s="47"/>
      <c r="E59" s="48"/>
      <c r="F59" s="48"/>
      <c r="G59" s="47"/>
      <c r="H59" s="47"/>
      <c r="I59" s="47"/>
      <c r="J59" s="47"/>
      <c r="K59" s="47"/>
      <c r="L59" s="47"/>
      <c r="M59" s="47"/>
      <c r="N59" s="47"/>
    </row>
    <row r="60" spans="1:15" s="13" customFormat="1" x14ac:dyDescent="0.2">
      <c r="A60" s="45"/>
      <c r="B60" s="95"/>
      <c r="C60" s="47"/>
      <c r="D60" s="47"/>
      <c r="E60" s="48"/>
      <c r="F60" s="48"/>
      <c r="G60" s="47"/>
      <c r="H60" s="47"/>
      <c r="I60" s="47"/>
      <c r="J60" s="47"/>
      <c r="K60" s="47"/>
      <c r="L60" s="47"/>
      <c r="M60" s="47"/>
      <c r="N60" s="47"/>
    </row>
    <row r="61" spans="1:15" s="59" customFormat="1" ht="21" customHeight="1" thickBot="1" x14ac:dyDescent="0.25">
      <c r="A61" s="7" t="s">
        <v>87</v>
      </c>
      <c r="B61" s="7"/>
      <c r="C61" s="7"/>
      <c r="D61" s="7"/>
      <c r="E61" s="7"/>
      <c r="F61" s="7"/>
      <c r="G61" s="5"/>
      <c r="H61" s="5"/>
      <c r="I61" s="5"/>
      <c r="J61" s="5"/>
      <c r="K61" s="5"/>
      <c r="L61" s="6"/>
      <c r="M61" s="6"/>
      <c r="N61" s="6"/>
    </row>
    <row r="62" spans="1:15" s="13" customFormat="1" ht="24" customHeight="1" thickBot="1" x14ac:dyDescent="0.25">
      <c r="A62" s="49" t="s">
        <v>0</v>
      </c>
      <c r="B62" s="50" t="s">
        <v>1</v>
      </c>
      <c r="C62" s="51" t="s">
        <v>17</v>
      </c>
      <c r="D62" s="51" t="s">
        <v>18</v>
      </c>
      <c r="E62" s="51" t="s">
        <v>19</v>
      </c>
      <c r="F62" s="51" t="s">
        <v>20</v>
      </c>
      <c r="G62" s="51" t="s">
        <v>21</v>
      </c>
      <c r="H62" s="51" t="s">
        <v>22</v>
      </c>
      <c r="I62" s="51" t="s">
        <v>23</v>
      </c>
      <c r="J62" s="51" t="s">
        <v>24</v>
      </c>
      <c r="K62" s="51" t="s">
        <v>25</v>
      </c>
      <c r="L62" s="51" t="s">
        <v>26</v>
      </c>
      <c r="M62" s="51" t="s">
        <v>27</v>
      </c>
      <c r="N62" s="52" t="s">
        <v>28</v>
      </c>
    </row>
    <row r="63" spans="1:15" s="17" customFormat="1" ht="21" customHeight="1" thickBot="1" x14ac:dyDescent="0.25">
      <c r="A63" s="14" t="s">
        <v>14</v>
      </c>
      <c r="B63" s="15" t="s">
        <v>5</v>
      </c>
      <c r="C63" s="135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2"/>
      <c r="O63" s="44"/>
    </row>
    <row r="64" spans="1:15" s="17" customFormat="1" ht="14.25" customHeight="1" thickBot="1" x14ac:dyDescent="0.25">
      <c r="A64" s="18" t="s">
        <v>15</v>
      </c>
      <c r="B64" s="78" t="s">
        <v>7</v>
      </c>
      <c r="C64" s="20"/>
      <c r="D64" s="20"/>
      <c r="E64" s="21"/>
      <c r="F64" s="21"/>
      <c r="G64" s="63"/>
      <c r="H64" s="21"/>
      <c r="I64" s="21"/>
      <c r="J64" s="21"/>
      <c r="K64" s="21"/>
      <c r="L64" s="21"/>
      <c r="M64" s="21"/>
      <c r="N64" s="22"/>
      <c r="O64" s="61"/>
    </row>
    <row r="65" spans="1:15" s="13" customFormat="1" ht="15" customHeight="1" x14ac:dyDescent="0.2">
      <c r="A65" s="80"/>
      <c r="B65" s="86" t="s">
        <v>61</v>
      </c>
      <c r="C65" s="155">
        <f>SUM(C66:C69)</f>
        <v>2654.5329999999994</v>
      </c>
      <c r="D65" s="155">
        <f t="shared" ref="D65:N65" si="17">SUM(D66:D69)</f>
        <v>2851.6129999999994</v>
      </c>
      <c r="E65" s="156">
        <f t="shared" si="17"/>
        <v>2860.2829999999994</v>
      </c>
      <c r="F65" s="156">
        <f t="shared" si="17"/>
        <v>2824.6129999999994</v>
      </c>
      <c r="G65" s="156">
        <f t="shared" si="17"/>
        <v>2802.3829999999994</v>
      </c>
      <c r="H65" s="156">
        <f t="shared" si="17"/>
        <v>2813.4129999999996</v>
      </c>
      <c r="I65" s="156">
        <f t="shared" si="17"/>
        <v>3069.0829999999996</v>
      </c>
      <c r="J65" s="156">
        <f t="shared" si="17"/>
        <v>3095.6429999999996</v>
      </c>
      <c r="K65" s="156">
        <f t="shared" si="17"/>
        <v>3044.3929999999996</v>
      </c>
      <c r="L65" s="156">
        <f t="shared" si="17"/>
        <v>3190.2735300365248</v>
      </c>
      <c r="M65" s="156">
        <f t="shared" si="17"/>
        <v>3243.1535300365249</v>
      </c>
      <c r="N65" s="156">
        <f t="shared" si="17"/>
        <v>3194.2935300365248</v>
      </c>
      <c r="O65" s="61"/>
    </row>
    <row r="66" spans="1:15" s="13" customFormat="1" ht="15" customHeight="1" x14ac:dyDescent="0.2">
      <c r="A66" s="29"/>
      <c r="B66" s="89" t="s">
        <v>113</v>
      </c>
      <c r="C66" s="101">
        <v>2190.75</v>
      </c>
      <c r="D66" s="101">
        <v>2387.83</v>
      </c>
      <c r="E66" s="102">
        <v>2396.5</v>
      </c>
      <c r="F66" s="102">
        <v>2360.83</v>
      </c>
      <c r="G66" s="157">
        <v>2338.6</v>
      </c>
      <c r="H66" s="101">
        <v>2349.63</v>
      </c>
      <c r="I66" s="101">
        <v>2605.3000000000002</v>
      </c>
      <c r="J66" s="101">
        <v>2631.86</v>
      </c>
      <c r="K66" s="101">
        <v>2580.61</v>
      </c>
      <c r="L66" s="101">
        <v>2625.93</v>
      </c>
      <c r="M66" s="101">
        <v>2678.81</v>
      </c>
      <c r="N66" s="158">
        <v>2629.95</v>
      </c>
      <c r="O66" s="61"/>
    </row>
    <row r="67" spans="1:15" s="13" customFormat="1" ht="15" customHeight="1" x14ac:dyDescent="0.2">
      <c r="A67" s="25"/>
      <c r="B67" s="90" t="s">
        <v>64</v>
      </c>
      <c r="C67" s="27">
        <v>240.97</v>
      </c>
      <c r="D67" s="27">
        <v>240.97</v>
      </c>
      <c r="E67" s="28">
        <v>240.97</v>
      </c>
      <c r="F67" s="28">
        <v>240.97</v>
      </c>
      <c r="G67" s="64">
        <v>240.97</v>
      </c>
      <c r="H67" s="27">
        <v>240.97</v>
      </c>
      <c r="I67" s="27">
        <v>240.97</v>
      </c>
      <c r="J67" s="27">
        <v>240.97</v>
      </c>
      <c r="K67" s="27">
        <v>240.97</v>
      </c>
      <c r="L67" s="27">
        <v>277.60000000000002</v>
      </c>
      <c r="M67" s="27">
        <v>277.60000000000002</v>
      </c>
      <c r="N67" s="53">
        <v>277.60000000000002</v>
      </c>
      <c r="O67" s="61"/>
    </row>
    <row r="68" spans="1:15" s="13" customFormat="1" ht="15" customHeight="1" x14ac:dyDescent="0.2">
      <c r="A68" s="29"/>
      <c r="B68" s="89" t="s">
        <v>9</v>
      </c>
      <c r="C68" s="114">
        <v>217.45000000000002</v>
      </c>
      <c r="D68" s="114">
        <v>217.45000000000002</v>
      </c>
      <c r="E68" s="115">
        <v>217.45000000000002</v>
      </c>
      <c r="F68" s="115">
        <v>217.45000000000002</v>
      </c>
      <c r="G68" s="116">
        <v>217.45000000000002</v>
      </c>
      <c r="H68" s="114">
        <v>217.45000000000002</v>
      </c>
      <c r="I68" s="114">
        <v>217.45000000000002</v>
      </c>
      <c r="J68" s="114">
        <v>217.45000000000002</v>
      </c>
      <c r="K68" s="114">
        <v>217.45000000000002</v>
      </c>
      <c r="L68" s="114">
        <v>280.62</v>
      </c>
      <c r="M68" s="114">
        <v>280.62</v>
      </c>
      <c r="N68" s="117">
        <v>280.62</v>
      </c>
      <c r="O68" s="61"/>
    </row>
    <row r="69" spans="1:15" s="13" customFormat="1" x14ac:dyDescent="0.2">
      <c r="A69" s="81"/>
      <c r="B69" s="91" t="s">
        <v>42</v>
      </c>
      <c r="C69" s="106">
        <v>5.3629999999999995</v>
      </c>
      <c r="D69" s="106">
        <v>5.3629999999999995</v>
      </c>
      <c r="E69" s="107">
        <v>5.3629999999999995</v>
      </c>
      <c r="F69" s="107">
        <v>5.3629999999999995</v>
      </c>
      <c r="G69" s="108">
        <v>5.3629999999999995</v>
      </c>
      <c r="H69" s="106">
        <v>5.3629999999999995</v>
      </c>
      <c r="I69" s="106">
        <v>5.3629999999999995</v>
      </c>
      <c r="J69" s="106">
        <v>5.3629999999999995</v>
      </c>
      <c r="K69" s="106">
        <v>5.3629999999999995</v>
      </c>
      <c r="L69" s="106">
        <v>6.1235300365250511</v>
      </c>
      <c r="M69" s="106">
        <v>6.1235300365250511</v>
      </c>
      <c r="N69" s="109">
        <v>6.1235300365250511</v>
      </c>
      <c r="O69" s="61"/>
    </row>
    <row r="70" spans="1:15" s="13" customFormat="1" ht="25.5" x14ac:dyDescent="0.2">
      <c r="A70" s="82"/>
      <c r="B70" s="87" t="s">
        <v>118</v>
      </c>
      <c r="C70" s="119">
        <f>SUM(C71:C72)</f>
        <v>1063691.4400000002</v>
      </c>
      <c r="D70" s="119">
        <f t="shared" ref="D70:N70" si="18">SUM(D71:D72)</f>
        <v>1007002.78</v>
      </c>
      <c r="E70" s="120">
        <f t="shared" si="18"/>
        <v>1062450.8899999999</v>
      </c>
      <c r="F70" s="120">
        <f t="shared" si="18"/>
        <v>1056190.19</v>
      </c>
      <c r="G70" s="119">
        <f t="shared" si="18"/>
        <v>1227142.22</v>
      </c>
      <c r="H70" s="119">
        <f t="shared" si="18"/>
        <v>1197387.5999999999</v>
      </c>
      <c r="I70" s="119">
        <f t="shared" si="18"/>
        <v>1200392.96</v>
      </c>
      <c r="J70" s="119">
        <f t="shared" si="18"/>
        <v>1192228.79</v>
      </c>
      <c r="K70" s="119">
        <f t="shared" si="18"/>
        <v>1192669.18</v>
      </c>
      <c r="L70" s="119">
        <f t="shared" si="18"/>
        <v>1225813.8399999999</v>
      </c>
      <c r="M70" s="119">
        <f t="shared" si="18"/>
        <v>1234126.6700000002</v>
      </c>
      <c r="N70" s="118">
        <f t="shared" si="18"/>
        <v>1233361.28</v>
      </c>
    </row>
    <row r="71" spans="1:15" s="13" customFormat="1" ht="25.5" x14ac:dyDescent="0.2">
      <c r="A71" s="178"/>
      <c r="B71" s="91" t="s">
        <v>116</v>
      </c>
      <c r="C71" s="146">
        <v>850.58</v>
      </c>
      <c r="D71" s="146">
        <v>1150.1400000000001</v>
      </c>
      <c r="E71" s="99">
        <v>1178.98</v>
      </c>
      <c r="F71" s="99">
        <v>1377.28</v>
      </c>
      <c r="G71" s="147">
        <v>1386.94</v>
      </c>
      <c r="H71" s="146">
        <v>1354.18</v>
      </c>
      <c r="I71" s="146">
        <v>1251.6600000000001</v>
      </c>
      <c r="J71" s="146">
        <v>1551.11</v>
      </c>
      <c r="K71" s="146">
        <v>1608.71</v>
      </c>
      <c r="L71" s="146">
        <v>1250.6400000000001</v>
      </c>
      <c r="M71" s="146">
        <v>1067.3599999999999</v>
      </c>
      <c r="N71" s="158">
        <v>1060.92</v>
      </c>
    </row>
    <row r="72" spans="1:15" s="13" customFormat="1" ht="25.5" x14ac:dyDescent="0.2">
      <c r="A72" s="178"/>
      <c r="B72" s="90" t="s">
        <v>117</v>
      </c>
      <c r="C72" s="146">
        <v>1062840.8600000001</v>
      </c>
      <c r="D72" s="146">
        <v>1005852.64</v>
      </c>
      <c r="E72" s="99">
        <v>1061271.9099999999</v>
      </c>
      <c r="F72" s="99">
        <v>1054812.9099999999</v>
      </c>
      <c r="G72" s="147">
        <v>1225755.28</v>
      </c>
      <c r="H72" s="146">
        <v>1196033.42</v>
      </c>
      <c r="I72" s="146">
        <v>1199141.3</v>
      </c>
      <c r="J72" s="146">
        <v>1190677.68</v>
      </c>
      <c r="K72" s="146">
        <v>1191060.47</v>
      </c>
      <c r="L72" s="146">
        <v>1224563.2</v>
      </c>
      <c r="M72" s="146">
        <v>1233059.31</v>
      </c>
      <c r="N72" s="148">
        <v>1232300.3600000001</v>
      </c>
    </row>
    <row r="73" spans="1:15" s="13" customFormat="1" ht="26.25" thickBot="1" x14ac:dyDescent="0.25">
      <c r="A73" s="84"/>
      <c r="B73" s="191" t="s">
        <v>65</v>
      </c>
      <c r="C73" s="128">
        <v>1453322.29</v>
      </c>
      <c r="D73" s="129">
        <v>1453322.29</v>
      </c>
      <c r="E73" s="130">
        <v>1453322.29</v>
      </c>
      <c r="F73" s="130">
        <v>1453322.29</v>
      </c>
      <c r="G73" s="131">
        <v>1453322.29</v>
      </c>
      <c r="H73" s="128">
        <v>1453322.29</v>
      </c>
      <c r="I73" s="129">
        <v>1453322.29</v>
      </c>
      <c r="J73" s="128">
        <v>1453322.29</v>
      </c>
      <c r="K73" s="129">
        <v>1453322.29</v>
      </c>
      <c r="L73" s="128">
        <v>1748346.71</v>
      </c>
      <c r="M73" s="129">
        <v>1748346.71</v>
      </c>
      <c r="N73" s="132">
        <v>1748346.71</v>
      </c>
    </row>
    <row r="74" spans="1:15" s="13" customFormat="1" ht="26.25" thickBot="1" x14ac:dyDescent="0.25">
      <c r="A74" s="36" t="s">
        <v>16</v>
      </c>
      <c r="B74" s="37" t="s">
        <v>11</v>
      </c>
      <c r="C74" s="20"/>
      <c r="D74" s="20"/>
      <c r="E74" s="21"/>
      <c r="F74" s="21"/>
      <c r="G74" s="66"/>
      <c r="H74" s="20"/>
      <c r="I74" s="20"/>
      <c r="J74" s="20"/>
      <c r="K74" s="20"/>
      <c r="L74" s="20"/>
      <c r="M74" s="20"/>
      <c r="N74" s="55"/>
    </row>
    <row r="75" spans="1:15" s="13" customFormat="1" ht="25.5" x14ac:dyDescent="0.2">
      <c r="A75" s="85"/>
      <c r="B75" s="88" t="s">
        <v>61</v>
      </c>
      <c r="C75" s="159">
        <f>SUM(C76:C78)</f>
        <v>2413.5629999999996</v>
      </c>
      <c r="D75" s="159">
        <f t="shared" ref="D75:N75" si="19">SUM(D76:D78)</f>
        <v>2610.6429999999996</v>
      </c>
      <c r="E75" s="160">
        <f t="shared" si="19"/>
        <v>2619.3129999999996</v>
      </c>
      <c r="F75" s="160">
        <f t="shared" si="19"/>
        <v>2583.6429999999996</v>
      </c>
      <c r="G75" s="160">
        <f t="shared" si="19"/>
        <v>2561.4129999999996</v>
      </c>
      <c r="H75" s="160">
        <f t="shared" si="19"/>
        <v>2572.4429999999998</v>
      </c>
      <c r="I75" s="160">
        <f t="shared" si="19"/>
        <v>2828.1129999999998</v>
      </c>
      <c r="J75" s="160">
        <f t="shared" si="19"/>
        <v>2854.6729999999998</v>
      </c>
      <c r="K75" s="160">
        <f t="shared" si="19"/>
        <v>2803.4229999999998</v>
      </c>
      <c r="L75" s="160">
        <f t="shared" si="19"/>
        <v>2912.6735300365249</v>
      </c>
      <c r="M75" s="160">
        <f t="shared" si="19"/>
        <v>2965.553530036525</v>
      </c>
      <c r="N75" s="161">
        <f t="shared" si="19"/>
        <v>2916.6935300365249</v>
      </c>
    </row>
    <row r="76" spans="1:15" s="13" customFormat="1" x14ac:dyDescent="0.2">
      <c r="A76" s="25"/>
      <c r="B76" s="89" t="s">
        <v>113</v>
      </c>
      <c r="C76" s="101">
        <f>C66</f>
        <v>2190.75</v>
      </c>
      <c r="D76" s="101">
        <f t="shared" ref="D76:N76" si="20">D66</f>
        <v>2387.83</v>
      </c>
      <c r="E76" s="102">
        <f t="shared" si="20"/>
        <v>2396.5</v>
      </c>
      <c r="F76" s="102">
        <f t="shared" si="20"/>
        <v>2360.83</v>
      </c>
      <c r="G76" s="157">
        <f t="shared" si="20"/>
        <v>2338.6</v>
      </c>
      <c r="H76" s="101">
        <f t="shared" si="20"/>
        <v>2349.63</v>
      </c>
      <c r="I76" s="101">
        <f t="shared" si="20"/>
        <v>2605.3000000000002</v>
      </c>
      <c r="J76" s="101">
        <f t="shared" si="20"/>
        <v>2631.86</v>
      </c>
      <c r="K76" s="101">
        <f t="shared" si="20"/>
        <v>2580.61</v>
      </c>
      <c r="L76" s="101">
        <f t="shared" si="20"/>
        <v>2625.93</v>
      </c>
      <c r="M76" s="101">
        <f t="shared" si="20"/>
        <v>2678.81</v>
      </c>
      <c r="N76" s="158">
        <f t="shared" si="20"/>
        <v>2629.95</v>
      </c>
    </row>
    <row r="77" spans="1:15" s="13" customFormat="1" x14ac:dyDescent="0.2">
      <c r="A77" s="40"/>
      <c r="B77" s="90" t="s">
        <v>9</v>
      </c>
      <c r="C77" s="114">
        <f t="shared" ref="C77:N77" si="21">C68</f>
        <v>217.45000000000002</v>
      </c>
      <c r="D77" s="114">
        <f t="shared" si="21"/>
        <v>217.45000000000002</v>
      </c>
      <c r="E77" s="115">
        <f t="shared" si="21"/>
        <v>217.45000000000002</v>
      </c>
      <c r="F77" s="115">
        <f t="shared" si="21"/>
        <v>217.45000000000002</v>
      </c>
      <c r="G77" s="121">
        <f t="shared" si="21"/>
        <v>217.45000000000002</v>
      </c>
      <c r="H77" s="115">
        <f t="shared" si="21"/>
        <v>217.45000000000002</v>
      </c>
      <c r="I77" s="115">
        <f t="shared" si="21"/>
        <v>217.45000000000002</v>
      </c>
      <c r="J77" s="115">
        <f t="shared" si="21"/>
        <v>217.45000000000002</v>
      </c>
      <c r="K77" s="115">
        <f t="shared" si="21"/>
        <v>217.45000000000002</v>
      </c>
      <c r="L77" s="115">
        <f t="shared" si="21"/>
        <v>280.62</v>
      </c>
      <c r="M77" s="115">
        <f t="shared" si="21"/>
        <v>280.62</v>
      </c>
      <c r="N77" s="122">
        <f t="shared" si="21"/>
        <v>280.62</v>
      </c>
    </row>
    <row r="78" spans="1:15" s="13" customFormat="1" x14ac:dyDescent="0.2">
      <c r="A78" s="81"/>
      <c r="B78" s="91" t="s">
        <v>42</v>
      </c>
      <c r="C78" s="106">
        <f t="shared" ref="C78:N78" si="22">C69</f>
        <v>5.3629999999999995</v>
      </c>
      <c r="D78" s="106">
        <f t="shared" si="22"/>
        <v>5.3629999999999995</v>
      </c>
      <c r="E78" s="107">
        <f t="shared" si="22"/>
        <v>5.3629999999999995</v>
      </c>
      <c r="F78" s="107">
        <f t="shared" si="22"/>
        <v>5.3629999999999995</v>
      </c>
      <c r="G78" s="108">
        <f t="shared" si="22"/>
        <v>5.3629999999999995</v>
      </c>
      <c r="H78" s="106">
        <f t="shared" si="22"/>
        <v>5.3629999999999995</v>
      </c>
      <c r="I78" s="106">
        <f t="shared" si="22"/>
        <v>5.3629999999999995</v>
      </c>
      <c r="J78" s="106">
        <f t="shared" si="22"/>
        <v>5.3629999999999995</v>
      </c>
      <c r="K78" s="106">
        <f t="shared" si="22"/>
        <v>5.3629999999999995</v>
      </c>
      <c r="L78" s="106">
        <f t="shared" si="22"/>
        <v>6.1235300365250511</v>
      </c>
      <c r="M78" s="106">
        <f t="shared" si="22"/>
        <v>6.1235300365250511</v>
      </c>
      <c r="N78" s="109">
        <f t="shared" si="22"/>
        <v>6.1235300365250511</v>
      </c>
    </row>
    <row r="79" spans="1:15" s="13" customFormat="1" ht="25.5" x14ac:dyDescent="0.2">
      <c r="A79" s="25"/>
      <c r="B79" s="87" t="s">
        <v>118</v>
      </c>
      <c r="C79" s="119">
        <f>SUM(C80:C81)</f>
        <v>1063691.4400000002</v>
      </c>
      <c r="D79" s="119">
        <f t="shared" ref="D79" si="23">SUM(D80:D81)</f>
        <v>1007002.78</v>
      </c>
      <c r="E79" s="120">
        <f t="shared" ref="E79" si="24">SUM(E80:E81)</f>
        <v>1062450.8899999999</v>
      </c>
      <c r="F79" s="120">
        <f t="shared" ref="F79" si="25">SUM(F80:F81)</f>
        <v>1056190.19</v>
      </c>
      <c r="G79" s="119">
        <f t="shared" ref="G79" si="26">SUM(G80:G81)</f>
        <v>1227142.22</v>
      </c>
      <c r="H79" s="119">
        <f t="shared" ref="H79" si="27">SUM(H80:H81)</f>
        <v>1197387.5999999999</v>
      </c>
      <c r="I79" s="119">
        <f t="shared" ref="I79" si="28">SUM(I80:I81)</f>
        <v>1200392.96</v>
      </c>
      <c r="J79" s="119">
        <f t="shared" ref="J79" si="29">SUM(J80:J81)</f>
        <v>1192228.79</v>
      </c>
      <c r="K79" s="119">
        <f t="shared" ref="K79" si="30">SUM(K80:K81)</f>
        <v>1192669.18</v>
      </c>
      <c r="L79" s="119">
        <f t="shared" ref="L79" si="31">SUM(L80:L81)</f>
        <v>1225813.8399999999</v>
      </c>
      <c r="M79" s="119">
        <f t="shared" ref="M79" si="32">SUM(M80:M81)</f>
        <v>1234126.6700000002</v>
      </c>
      <c r="N79" s="118">
        <f t="shared" ref="N79" si="33">SUM(N80:N81)</f>
        <v>1233361.28</v>
      </c>
    </row>
    <row r="80" spans="1:15" s="13" customFormat="1" ht="25.5" x14ac:dyDescent="0.2">
      <c r="A80" s="29"/>
      <c r="B80" s="90" t="s">
        <v>116</v>
      </c>
      <c r="C80" s="146">
        <v>850.58</v>
      </c>
      <c r="D80" s="146">
        <v>1150.1400000000001</v>
      </c>
      <c r="E80" s="99">
        <v>1178.98</v>
      </c>
      <c r="F80" s="99">
        <v>1377.28</v>
      </c>
      <c r="G80" s="147">
        <v>1386.94</v>
      </c>
      <c r="H80" s="146">
        <v>1354.18</v>
      </c>
      <c r="I80" s="146">
        <v>1251.6600000000001</v>
      </c>
      <c r="J80" s="146">
        <v>1551.11</v>
      </c>
      <c r="K80" s="146">
        <v>1608.71</v>
      </c>
      <c r="L80" s="146">
        <v>1250.6400000000001</v>
      </c>
      <c r="M80" s="146">
        <v>1067.3599999999999</v>
      </c>
      <c r="N80" s="158">
        <v>1060.92</v>
      </c>
    </row>
    <row r="81" spans="1:15" s="13" customFormat="1" ht="26.25" thickBot="1" x14ac:dyDescent="0.25">
      <c r="A81" s="32"/>
      <c r="B81" s="90" t="s">
        <v>117</v>
      </c>
      <c r="C81" s="101">
        <v>1062840.8600000001</v>
      </c>
      <c r="D81" s="101">
        <v>1005852.64</v>
      </c>
      <c r="E81" s="102">
        <v>1061271.9099999999</v>
      </c>
      <c r="F81" s="102">
        <v>1054812.9099999999</v>
      </c>
      <c r="G81" s="157">
        <v>1225755.28</v>
      </c>
      <c r="H81" s="101">
        <v>1196033.42</v>
      </c>
      <c r="I81" s="101">
        <v>1199141.3</v>
      </c>
      <c r="J81" s="101">
        <v>1190677.68</v>
      </c>
      <c r="K81" s="101">
        <v>1191060.47</v>
      </c>
      <c r="L81" s="101">
        <v>1224563.2</v>
      </c>
      <c r="M81" s="101">
        <v>1233059.31</v>
      </c>
      <c r="N81" s="148">
        <v>1232300.3600000001</v>
      </c>
    </row>
    <row r="82" spans="1:15" s="13" customFormat="1" ht="15" thickBot="1" x14ac:dyDescent="0.25">
      <c r="A82" s="36" t="s">
        <v>67</v>
      </c>
      <c r="B82" s="37" t="s">
        <v>66</v>
      </c>
      <c r="C82" s="20"/>
      <c r="D82" s="20"/>
      <c r="E82" s="21"/>
      <c r="F82" s="21"/>
      <c r="G82" s="66"/>
      <c r="H82" s="20"/>
      <c r="I82" s="20"/>
      <c r="J82" s="20"/>
      <c r="K82" s="20"/>
      <c r="L82" s="20"/>
      <c r="M82" s="20"/>
      <c r="N82" s="55"/>
    </row>
    <row r="83" spans="1:15" s="13" customFormat="1" ht="25.5" x14ac:dyDescent="0.2">
      <c r="A83" s="85"/>
      <c r="B83" s="88" t="s">
        <v>61</v>
      </c>
      <c r="C83" s="159">
        <f>SUM(C84:C86)</f>
        <v>2413.5629999999996</v>
      </c>
      <c r="D83" s="159">
        <f t="shared" ref="D83:N83" si="34">SUM(D84:D86)</f>
        <v>2610.6429999999996</v>
      </c>
      <c r="E83" s="160">
        <f t="shared" si="34"/>
        <v>2619.3129999999996</v>
      </c>
      <c r="F83" s="160">
        <f t="shared" si="34"/>
        <v>2583.6429999999996</v>
      </c>
      <c r="G83" s="160">
        <f t="shared" si="34"/>
        <v>2561.4129999999996</v>
      </c>
      <c r="H83" s="160">
        <f t="shared" si="34"/>
        <v>2572.4429999999998</v>
      </c>
      <c r="I83" s="160">
        <f t="shared" si="34"/>
        <v>2828.1129999999998</v>
      </c>
      <c r="J83" s="160">
        <f t="shared" si="34"/>
        <v>2854.6729999999998</v>
      </c>
      <c r="K83" s="160">
        <f t="shared" si="34"/>
        <v>2803.4229999999998</v>
      </c>
      <c r="L83" s="160">
        <f t="shared" si="34"/>
        <v>2912.6735300365249</v>
      </c>
      <c r="M83" s="160">
        <f t="shared" si="34"/>
        <v>2965.553530036525</v>
      </c>
      <c r="N83" s="161">
        <f t="shared" si="34"/>
        <v>2916.6935300365249</v>
      </c>
    </row>
    <row r="84" spans="1:15" s="13" customFormat="1" x14ac:dyDescent="0.2">
      <c r="A84" s="25"/>
      <c r="B84" s="89" t="s">
        <v>113</v>
      </c>
      <c r="C84" s="101">
        <f t="shared" ref="C84:N84" si="35">C66</f>
        <v>2190.75</v>
      </c>
      <c r="D84" s="101">
        <f t="shared" si="35"/>
        <v>2387.83</v>
      </c>
      <c r="E84" s="102">
        <f t="shared" si="35"/>
        <v>2396.5</v>
      </c>
      <c r="F84" s="102">
        <f t="shared" si="35"/>
        <v>2360.83</v>
      </c>
      <c r="G84" s="157">
        <f t="shared" si="35"/>
        <v>2338.6</v>
      </c>
      <c r="H84" s="101">
        <f t="shared" si="35"/>
        <v>2349.63</v>
      </c>
      <c r="I84" s="101">
        <f t="shared" si="35"/>
        <v>2605.3000000000002</v>
      </c>
      <c r="J84" s="101">
        <f t="shared" si="35"/>
        <v>2631.86</v>
      </c>
      <c r="K84" s="101">
        <f t="shared" si="35"/>
        <v>2580.61</v>
      </c>
      <c r="L84" s="101">
        <f t="shared" si="35"/>
        <v>2625.93</v>
      </c>
      <c r="M84" s="101">
        <f t="shared" si="35"/>
        <v>2678.81</v>
      </c>
      <c r="N84" s="158">
        <f t="shared" si="35"/>
        <v>2629.95</v>
      </c>
    </row>
    <row r="85" spans="1:15" s="13" customFormat="1" x14ac:dyDescent="0.2">
      <c r="A85" s="40"/>
      <c r="B85" s="90" t="s">
        <v>9</v>
      </c>
      <c r="C85" s="114">
        <f t="shared" ref="C85:N85" si="36">C68</f>
        <v>217.45000000000002</v>
      </c>
      <c r="D85" s="114">
        <f t="shared" si="36"/>
        <v>217.45000000000002</v>
      </c>
      <c r="E85" s="115">
        <f t="shared" si="36"/>
        <v>217.45000000000002</v>
      </c>
      <c r="F85" s="115">
        <f t="shared" si="36"/>
        <v>217.45000000000002</v>
      </c>
      <c r="G85" s="121">
        <f t="shared" si="36"/>
        <v>217.45000000000002</v>
      </c>
      <c r="H85" s="115">
        <f t="shared" si="36"/>
        <v>217.45000000000002</v>
      </c>
      <c r="I85" s="115">
        <f t="shared" si="36"/>
        <v>217.45000000000002</v>
      </c>
      <c r="J85" s="115">
        <f t="shared" si="36"/>
        <v>217.45000000000002</v>
      </c>
      <c r="K85" s="115">
        <f t="shared" si="36"/>
        <v>217.45000000000002</v>
      </c>
      <c r="L85" s="115">
        <f t="shared" si="36"/>
        <v>280.62</v>
      </c>
      <c r="M85" s="115">
        <f t="shared" si="36"/>
        <v>280.62</v>
      </c>
      <c r="N85" s="122">
        <f t="shared" si="36"/>
        <v>280.62</v>
      </c>
    </row>
    <row r="86" spans="1:15" s="13" customFormat="1" x14ac:dyDescent="0.2">
      <c r="A86" s="81"/>
      <c r="B86" s="91" t="s">
        <v>42</v>
      </c>
      <c r="C86" s="106">
        <f t="shared" ref="C86:N86" si="37">C69</f>
        <v>5.3629999999999995</v>
      </c>
      <c r="D86" s="106">
        <f t="shared" si="37"/>
        <v>5.3629999999999995</v>
      </c>
      <c r="E86" s="107">
        <f t="shared" si="37"/>
        <v>5.3629999999999995</v>
      </c>
      <c r="F86" s="107">
        <f t="shared" si="37"/>
        <v>5.3629999999999995</v>
      </c>
      <c r="G86" s="108">
        <f t="shared" si="37"/>
        <v>5.3629999999999995</v>
      </c>
      <c r="H86" s="106">
        <f t="shared" si="37"/>
        <v>5.3629999999999995</v>
      </c>
      <c r="I86" s="106">
        <f t="shared" si="37"/>
        <v>5.3629999999999995</v>
      </c>
      <c r="J86" s="106">
        <f t="shared" si="37"/>
        <v>5.3629999999999995</v>
      </c>
      <c r="K86" s="106">
        <f t="shared" si="37"/>
        <v>5.3629999999999995</v>
      </c>
      <c r="L86" s="106">
        <f t="shared" si="37"/>
        <v>6.1235300365250511</v>
      </c>
      <c r="M86" s="106">
        <f t="shared" si="37"/>
        <v>6.1235300365250511</v>
      </c>
      <c r="N86" s="109">
        <f t="shared" si="37"/>
        <v>6.1235300365250511</v>
      </c>
    </row>
    <row r="87" spans="1:15" s="13" customFormat="1" ht="25.5" x14ac:dyDescent="0.2">
      <c r="A87" s="82"/>
      <c r="B87" s="87" t="s">
        <v>118</v>
      </c>
      <c r="C87" s="119">
        <f>SUM(C88:C89)</f>
        <v>1063691.4400000002</v>
      </c>
      <c r="D87" s="119">
        <f t="shared" ref="D87:N87" si="38">SUM(D88:D89)</f>
        <v>1007002.78</v>
      </c>
      <c r="E87" s="120">
        <f t="shared" si="38"/>
        <v>1062450.8899999999</v>
      </c>
      <c r="F87" s="120">
        <f t="shared" si="38"/>
        <v>1056190.19</v>
      </c>
      <c r="G87" s="119">
        <f t="shared" si="38"/>
        <v>1227142.22</v>
      </c>
      <c r="H87" s="119">
        <f t="shared" si="38"/>
        <v>1197387.5999999999</v>
      </c>
      <c r="I87" s="119">
        <f t="shared" si="38"/>
        <v>1200392.96</v>
      </c>
      <c r="J87" s="119">
        <f t="shared" si="38"/>
        <v>1192228.79</v>
      </c>
      <c r="K87" s="119">
        <f t="shared" si="38"/>
        <v>1192669.18</v>
      </c>
      <c r="L87" s="119">
        <f t="shared" si="38"/>
        <v>1225813.8399999999</v>
      </c>
      <c r="M87" s="119">
        <f t="shared" si="38"/>
        <v>1234126.6700000002</v>
      </c>
      <c r="N87" s="118">
        <f t="shared" si="38"/>
        <v>1233361.28</v>
      </c>
    </row>
    <row r="88" spans="1:15" s="13" customFormat="1" ht="25.5" x14ac:dyDescent="0.2">
      <c r="A88" s="178"/>
      <c r="B88" s="91" t="s">
        <v>116</v>
      </c>
      <c r="C88" s="146">
        <v>850.58</v>
      </c>
      <c r="D88" s="146">
        <v>1150.1400000000001</v>
      </c>
      <c r="E88" s="99">
        <v>1178.98</v>
      </c>
      <c r="F88" s="99">
        <v>1377.28</v>
      </c>
      <c r="G88" s="147">
        <v>1386.94</v>
      </c>
      <c r="H88" s="146">
        <v>1354.18</v>
      </c>
      <c r="I88" s="146">
        <v>1251.6600000000001</v>
      </c>
      <c r="J88" s="146">
        <v>1551.11</v>
      </c>
      <c r="K88" s="146">
        <v>1608.71</v>
      </c>
      <c r="L88" s="146">
        <v>1250.6400000000001</v>
      </c>
      <c r="M88" s="146">
        <v>1067.3599999999999</v>
      </c>
      <c r="N88" s="158">
        <v>1060.92</v>
      </c>
    </row>
    <row r="89" spans="1:15" s="13" customFormat="1" ht="25.5" x14ac:dyDescent="0.2">
      <c r="A89" s="178"/>
      <c r="B89" s="90" t="s">
        <v>117</v>
      </c>
      <c r="C89" s="146">
        <v>1062840.8600000001</v>
      </c>
      <c r="D89" s="146">
        <v>1005852.64</v>
      </c>
      <c r="E89" s="99">
        <v>1061271.9099999999</v>
      </c>
      <c r="F89" s="99">
        <v>1054812.9099999999</v>
      </c>
      <c r="G89" s="147">
        <v>1225755.28</v>
      </c>
      <c r="H89" s="146">
        <v>1196033.42</v>
      </c>
      <c r="I89" s="146">
        <v>1199141.3</v>
      </c>
      <c r="J89" s="146">
        <v>1190677.68</v>
      </c>
      <c r="K89" s="146">
        <v>1191060.47</v>
      </c>
      <c r="L89" s="146">
        <v>1224563.2</v>
      </c>
      <c r="M89" s="146">
        <v>1233059.31</v>
      </c>
      <c r="N89" s="148">
        <v>1232300.3600000001</v>
      </c>
    </row>
    <row r="90" spans="1:15" s="13" customFormat="1" ht="26.25" thickBot="1" x14ac:dyDescent="0.25">
      <c r="A90" s="41"/>
      <c r="B90" s="93" t="s">
        <v>65</v>
      </c>
      <c r="C90" s="129">
        <f>C73</f>
        <v>1453322.29</v>
      </c>
      <c r="D90" s="129">
        <f t="shared" ref="D90:N90" si="39">D73</f>
        <v>1453322.29</v>
      </c>
      <c r="E90" s="130">
        <f t="shared" si="39"/>
        <v>1453322.29</v>
      </c>
      <c r="F90" s="130">
        <f t="shared" si="39"/>
        <v>1453322.29</v>
      </c>
      <c r="G90" s="133">
        <f t="shared" si="39"/>
        <v>1453322.29</v>
      </c>
      <c r="H90" s="129">
        <f t="shared" si="39"/>
        <v>1453322.29</v>
      </c>
      <c r="I90" s="129">
        <f t="shared" si="39"/>
        <v>1453322.29</v>
      </c>
      <c r="J90" s="129">
        <f t="shared" si="39"/>
        <v>1453322.29</v>
      </c>
      <c r="K90" s="129">
        <f t="shared" si="39"/>
        <v>1453322.29</v>
      </c>
      <c r="L90" s="129">
        <f t="shared" si="39"/>
        <v>1748346.71</v>
      </c>
      <c r="M90" s="129">
        <f t="shared" si="39"/>
        <v>1748346.71</v>
      </c>
      <c r="N90" s="134">
        <f t="shared" si="39"/>
        <v>1748346.71</v>
      </c>
    </row>
    <row r="91" spans="1:15" s="13" customFormat="1" x14ac:dyDescent="0.2">
      <c r="A91" s="45"/>
      <c r="B91" s="95"/>
      <c r="C91" s="96"/>
      <c r="D91" s="96"/>
      <c r="E91" s="97"/>
      <c r="F91" s="97"/>
      <c r="G91" s="96"/>
      <c r="H91" s="96"/>
      <c r="I91" s="96"/>
      <c r="J91" s="96"/>
      <c r="K91" s="96"/>
      <c r="L91" s="96"/>
      <c r="M91" s="96"/>
      <c r="N91" s="96"/>
    </row>
    <row r="92" spans="1:15" s="13" customFormat="1" x14ac:dyDescent="0.2">
      <c r="A92" s="45"/>
      <c r="B92" s="95"/>
      <c r="C92" s="96"/>
      <c r="D92" s="96"/>
      <c r="E92" s="97"/>
      <c r="F92" s="97"/>
      <c r="G92" s="96"/>
      <c r="H92" s="96"/>
      <c r="I92" s="96"/>
      <c r="J92" s="96"/>
      <c r="K92" s="96"/>
      <c r="L92" s="96"/>
      <c r="M92" s="96"/>
      <c r="N92" s="96"/>
    </row>
    <row r="93" spans="1:15" s="59" customFormat="1" ht="21" customHeight="1" thickBot="1" x14ac:dyDescent="0.25">
      <c r="A93" s="7" t="s">
        <v>88</v>
      </c>
      <c r="B93" s="7"/>
      <c r="C93" s="7"/>
      <c r="D93" s="7"/>
      <c r="E93" s="7"/>
      <c r="F93" s="7"/>
      <c r="G93" s="5"/>
      <c r="H93" s="5"/>
      <c r="I93" s="5"/>
      <c r="J93" s="5"/>
      <c r="K93" s="5"/>
      <c r="L93" s="6"/>
      <c r="M93" s="6"/>
      <c r="N93" s="6"/>
    </row>
    <row r="94" spans="1:15" s="13" customFormat="1" ht="24" customHeight="1" thickBot="1" x14ac:dyDescent="0.25">
      <c r="A94" s="49" t="s">
        <v>0</v>
      </c>
      <c r="B94" s="50" t="s">
        <v>1</v>
      </c>
      <c r="C94" s="51" t="s">
        <v>17</v>
      </c>
      <c r="D94" s="51" t="s">
        <v>18</v>
      </c>
      <c r="E94" s="51" t="s">
        <v>19</v>
      </c>
      <c r="F94" s="51" t="s">
        <v>20</v>
      </c>
      <c r="G94" s="51" t="s">
        <v>21</v>
      </c>
      <c r="H94" s="51" t="s">
        <v>22</v>
      </c>
      <c r="I94" s="51" t="s">
        <v>23</v>
      </c>
      <c r="J94" s="51" t="s">
        <v>24</v>
      </c>
      <c r="K94" s="51" t="s">
        <v>25</v>
      </c>
      <c r="L94" s="51" t="s">
        <v>26</v>
      </c>
      <c r="M94" s="51" t="s">
        <v>27</v>
      </c>
      <c r="N94" s="52" t="s">
        <v>28</v>
      </c>
    </row>
    <row r="95" spans="1:15" s="17" customFormat="1" ht="21" customHeight="1" thickBot="1" x14ac:dyDescent="0.25">
      <c r="A95" s="14" t="s">
        <v>31</v>
      </c>
      <c r="B95" s="15" t="s">
        <v>5</v>
      </c>
      <c r="C95" s="135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2"/>
      <c r="O95" s="44"/>
    </row>
    <row r="96" spans="1:15" s="17" customFormat="1" ht="13.5" thickBot="1" x14ac:dyDescent="0.25">
      <c r="A96" s="18" t="s">
        <v>32</v>
      </c>
      <c r="B96" s="78" t="s">
        <v>7</v>
      </c>
      <c r="C96" s="20"/>
      <c r="D96" s="20"/>
      <c r="E96" s="21"/>
      <c r="F96" s="21"/>
      <c r="G96" s="63"/>
      <c r="H96" s="21"/>
      <c r="I96" s="21"/>
      <c r="J96" s="21"/>
      <c r="K96" s="21"/>
      <c r="L96" s="21"/>
      <c r="M96" s="21"/>
      <c r="N96" s="22"/>
      <c r="O96" s="61"/>
    </row>
    <row r="97" spans="1:15" s="13" customFormat="1" ht="15" customHeight="1" x14ac:dyDescent="0.2">
      <c r="A97" s="80"/>
      <c r="B97" s="86" t="s">
        <v>61</v>
      </c>
      <c r="C97" s="155">
        <f>SUM(C98:C101)</f>
        <v>2970.0429999999997</v>
      </c>
      <c r="D97" s="155">
        <f t="shared" ref="D97:N97" si="40">SUM(D98:D101)</f>
        <v>3167.1229999999996</v>
      </c>
      <c r="E97" s="156">
        <f t="shared" si="40"/>
        <v>3175.7929999999997</v>
      </c>
      <c r="F97" s="156">
        <f t="shared" si="40"/>
        <v>3140.1229999999996</v>
      </c>
      <c r="G97" s="156">
        <f t="shared" si="40"/>
        <v>3117.8929999999996</v>
      </c>
      <c r="H97" s="156">
        <f t="shared" si="40"/>
        <v>3128.9229999999998</v>
      </c>
      <c r="I97" s="156">
        <f t="shared" si="40"/>
        <v>3384.5929999999998</v>
      </c>
      <c r="J97" s="156">
        <f t="shared" si="40"/>
        <v>3411.1529999999998</v>
      </c>
      <c r="K97" s="156">
        <f t="shared" si="40"/>
        <v>3359.9029999999998</v>
      </c>
      <c r="L97" s="156">
        <f t="shared" si="40"/>
        <v>3553.7335300365248</v>
      </c>
      <c r="M97" s="156">
        <f t="shared" si="40"/>
        <v>3606.6135300365249</v>
      </c>
      <c r="N97" s="156">
        <f t="shared" si="40"/>
        <v>3557.7535300365248</v>
      </c>
      <c r="O97" s="61"/>
    </row>
    <row r="98" spans="1:15" s="13" customFormat="1" ht="15" customHeight="1" x14ac:dyDescent="0.2">
      <c r="A98" s="29"/>
      <c r="B98" s="89" t="s">
        <v>113</v>
      </c>
      <c r="C98" s="101">
        <v>2190.75</v>
      </c>
      <c r="D98" s="101">
        <v>2387.83</v>
      </c>
      <c r="E98" s="102">
        <v>2396.5</v>
      </c>
      <c r="F98" s="102">
        <v>2360.83</v>
      </c>
      <c r="G98" s="157">
        <v>2338.6</v>
      </c>
      <c r="H98" s="101">
        <v>2349.63</v>
      </c>
      <c r="I98" s="101">
        <v>2605.3000000000002</v>
      </c>
      <c r="J98" s="101">
        <v>2631.86</v>
      </c>
      <c r="K98" s="101">
        <v>2580.61</v>
      </c>
      <c r="L98" s="101">
        <v>2625.93</v>
      </c>
      <c r="M98" s="101">
        <v>2678.81</v>
      </c>
      <c r="N98" s="158">
        <v>2629.95</v>
      </c>
      <c r="O98" s="61"/>
    </row>
    <row r="99" spans="1:15" s="13" customFormat="1" ht="15" customHeight="1" x14ac:dyDescent="0.2">
      <c r="A99" s="25"/>
      <c r="B99" s="90" t="s">
        <v>64</v>
      </c>
      <c r="C99" s="114">
        <v>556.48</v>
      </c>
      <c r="D99" s="114">
        <v>556.48</v>
      </c>
      <c r="E99" s="115">
        <v>556.48</v>
      </c>
      <c r="F99" s="115">
        <v>556.48</v>
      </c>
      <c r="G99" s="116">
        <v>556.48</v>
      </c>
      <c r="H99" s="114">
        <v>556.48</v>
      </c>
      <c r="I99" s="114">
        <v>556.48</v>
      </c>
      <c r="J99" s="114">
        <v>556.48</v>
      </c>
      <c r="K99" s="114">
        <v>556.48</v>
      </c>
      <c r="L99" s="114">
        <v>641.05999999999995</v>
      </c>
      <c r="M99" s="114">
        <v>641.05999999999995</v>
      </c>
      <c r="N99" s="117">
        <v>641.05999999999995</v>
      </c>
      <c r="O99" s="61"/>
    </row>
    <row r="100" spans="1:15" s="13" customFormat="1" ht="15" customHeight="1" x14ac:dyDescent="0.2">
      <c r="A100" s="29"/>
      <c r="B100" s="89" t="s">
        <v>9</v>
      </c>
      <c r="C100" s="114">
        <v>217.45000000000002</v>
      </c>
      <c r="D100" s="114">
        <v>217.45000000000002</v>
      </c>
      <c r="E100" s="115">
        <v>217.45000000000002</v>
      </c>
      <c r="F100" s="115">
        <v>217.45000000000002</v>
      </c>
      <c r="G100" s="116">
        <v>217.45000000000002</v>
      </c>
      <c r="H100" s="114">
        <v>217.45000000000002</v>
      </c>
      <c r="I100" s="114">
        <v>217.45000000000002</v>
      </c>
      <c r="J100" s="114">
        <v>217.45000000000002</v>
      </c>
      <c r="K100" s="114">
        <v>217.45000000000002</v>
      </c>
      <c r="L100" s="114">
        <v>280.62</v>
      </c>
      <c r="M100" s="114">
        <v>280.62</v>
      </c>
      <c r="N100" s="117">
        <v>280.62</v>
      </c>
      <c r="O100" s="61"/>
    </row>
    <row r="101" spans="1:15" s="13" customFormat="1" x14ac:dyDescent="0.2">
      <c r="A101" s="81"/>
      <c r="B101" s="91" t="s">
        <v>42</v>
      </c>
      <c r="C101" s="106">
        <v>5.3629999999999995</v>
      </c>
      <c r="D101" s="106">
        <v>5.3629999999999995</v>
      </c>
      <c r="E101" s="107">
        <v>5.3629999999999995</v>
      </c>
      <c r="F101" s="107">
        <v>5.3629999999999995</v>
      </c>
      <c r="G101" s="108">
        <v>5.3629999999999995</v>
      </c>
      <c r="H101" s="106">
        <v>5.3629999999999995</v>
      </c>
      <c r="I101" s="106">
        <v>5.3629999999999995</v>
      </c>
      <c r="J101" s="106">
        <v>5.3629999999999995</v>
      </c>
      <c r="K101" s="106">
        <v>5.3629999999999995</v>
      </c>
      <c r="L101" s="106">
        <v>6.1235300365250511</v>
      </c>
      <c r="M101" s="106">
        <v>6.1235300365250511</v>
      </c>
      <c r="N101" s="109">
        <v>6.1235300365250511</v>
      </c>
      <c r="O101" s="61"/>
    </row>
    <row r="102" spans="1:15" s="13" customFormat="1" ht="25.5" x14ac:dyDescent="0.2">
      <c r="A102" s="82"/>
      <c r="B102" s="87" t="s">
        <v>118</v>
      </c>
      <c r="C102" s="119">
        <f>SUM(C103:C104)</f>
        <v>1063691.4400000002</v>
      </c>
      <c r="D102" s="119">
        <f t="shared" ref="D102:N102" si="41">SUM(D103:D104)</f>
        <v>1007002.78</v>
      </c>
      <c r="E102" s="120">
        <f t="shared" si="41"/>
        <v>1062450.8899999999</v>
      </c>
      <c r="F102" s="120">
        <f t="shared" si="41"/>
        <v>1056190.19</v>
      </c>
      <c r="G102" s="119">
        <f t="shared" si="41"/>
        <v>1227142.22</v>
      </c>
      <c r="H102" s="119">
        <f t="shared" si="41"/>
        <v>1197387.5999999999</v>
      </c>
      <c r="I102" s="119">
        <f t="shared" si="41"/>
        <v>1200392.96</v>
      </c>
      <c r="J102" s="119">
        <f t="shared" si="41"/>
        <v>1192228.79</v>
      </c>
      <c r="K102" s="119">
        <f t="shared" si="41"/>
        <v>1192669.18</v>
      </c>
      <c r="L102" s="119">
        <f t="shared" si="41"/>
        <v>1225813.8399999999</v>
      </c>
      <c r="M102" s="119">
        <f t="shared" si="41"/>
        <v>1234126.6700000002</v>
      </c>
      <c r="N102" s="118">
        <f t="shared" si="41"/>
        <v>1233361.28</v>
      </c>
    </row>
    <row r="103" spans="1:15" s="13" customFormat="1" ht="25.5" x14ac:dyDescent="0.2">
      <c r="A103" s="178"/>
      <c r="B103" s="91" t="s">
        <v>116</v>
      </c>
      <c r="C103" s="146">
        <v>850.58</v>
      </c>
      <c r="D103" s="146">
        <v>1150.1400000000001</v>
      </c>
      <c r="E103" s="99">
        <v>1178.98</v>
      </c>
      <c r="F103" s="99">
        <v>1377.28</v>
      </c>
      <c r="G103" s="147">
        <v>1386.94</v>
      </c>
      <c r="H103" s="146">
        <v>1354.18</v>
      </c>
      <c r="I103" s="146">
        <v>1251.6600000000001</v>
      </c>
      <c r="J103" s="146">
        <v>1551.11</v>
      </c>
      <c r="K103" s="146">
        <v>1608.71</v>
      </c>
      <c r="L103" s="146">
        <v>1250.6400000000001</v>
      </c>
      <c r="M103" s="146">
        <v>1067.3599999999999</v>
      </c>
      <c r="N103" s="158">
        <v>1060.92</v>
      </c>
    </row>
    <row r="104" spans="1:15" s="13" customFormat="1" ht="25.5" x14ac:dyDescent="0.2">
      <c r="A104" s="178"/>
      <c r="B104" s="90" t="s">
        <v>117</v>
      </c>
      <c r="C104" s="146">
        <v>1062840.8600000001</v>
      </c>
      <c r="D104" s="146">
        <v>1005852.64</v>
      </c>
      <c r="E104" s="99">
        <v>1061271.9099999999</v>
      </c>
      <c r="F104" s="99">
        <v>1054812.9099999999</v>
      </c>
      <c r="G104" s="147">
        <v>1225755.28</v>
      </c>
      <c r="H104" s="146">
        <v>1196033.42</v>
      </c>
      <c r="I104" s="146">
        <v>1199141.3</v>
      </c>
      <c r="J104" s="146">
        <v>1190677.68</v>
      </c>
      <c r="K104" s="146">
        <v>1191060.47</v>
      </c>
      <c r="L104" s="146">
        <v>1224563.2</v>
      </c>
      <c r="M104" s="101">
        <v>1233059.31</v>
      </c>
      <c r="N104" s="148">
        <v>1232300.3600000001</v>
      </c>
    </row>
    <row r="105" spans="1:15" s="13" customFormat="1" ht="26.25" thickBot="1" x14ac:dyDescent="0.25">
      <c r="A105" s="84"/>
      <c r="B105" s="191" t="s">
        <v>65</v>
      </c>
      <c r="C105" s="128">
        <v>1502350</v>
      </c>
      <c r="D105" s="129">
        <v>1502350</v>
      </c>
      <c r="E105" s="130">
        <v>1502350</v>
      </c>
      <c r="F105" s="130">
        <v>1502350</v>
      </c>
      <c r="G105" s="131">
        <v>1502350</v>
      </c>
      <c r="H105" s="128">
        <v>1502350</v>
      </c>
      <c r="I105" s="129">
        <v>1502350</v>
      </c>
      <c r="J105" s="128">
        <v>1502350</v>
      </c>
      <c r="K105" s="129">
        <v>1502350</v>
      </c>
      <c r="L105" s="128">
        <v>1807327.05</v>
      </c>
      <c r="M105" s="123">
        <v>1807327.05</v>
      </c>
      <c r="N105" s="132">
        <v>1807327.05</v>
      </c>
    </row>
    <row r="106" spans="1:15" s="13" customFormat="1" ht="26.25" thickBot="1" x14ac:dyDescent="0.25">
      <c r="A106" s="36" t="s">
        <v>33</v>
      </c>
      <c r="B106" s="37" t="s">
        <v>11</v>
      </c>
      <c r="C106" s="20"/>
      <c r="D106" s="20"/>
      <c r="E106" s="21"/>
      <c r="F106" s="21"/>
      <c r="G106" s="66"/>
      <c r="H106" s="20"/>
      <c r="I106" s="20"/>
      <c r="J106" s="20"/>
      <c r="K106" s="20"/>
      <c r="L106" s="20"/>
      <c r="M106" s="20"/>
      <c r="N106" s="55"/>
    </row>
    <row r="107" spans="1:15" s="13" customFormat="1" ht="15" customHeight="1" x14ac:dyDescent="0.2">
      <c r="A107" s="85"/>
      <c r="B107" s="88" t="s">
        <v>61</v>
      </c>
      <c r="C107" s="159">
        <f>SUM(C108:C110)</f>
        <v>2413.5629999999996</v>
      </c>
      <c r="D107" s="159">
        <f t="shared" ref="D107:N107" si="42">SUM(D108:D110)</f>
        <v>2610.6429999999996</v>
      </c>
      <c r="E107" s="160">
        <f t="shared" si="42"/>
        <v>2619.3129999999996</v>
      </c>
      <c r="F107" s="160">
        <f t="shared" si="42"/>
        <v>2583.6429999999996</v>
      </c>
      <c r="G107" s="160">
        <f t="shared" si="42"/>
        <v>2561.4129999999996</v>
      </c>
      <c r="H107" s="160">
        <f t="shared" si="42"/>
        <v>2572.4429999999998</v>
      </c>
      <c r="I107" s="160">
        <f t="shared" si="42"/>
        <v>2828.1129999999998</v>
      </c>
      <c r="J107" s="160">
        <f t="shared" si="42"/>
        <v>2854.6729999999998</v>
      </c>
      <c r="K107" s="160">
        <f t="shared" si="42"/>
        <v>2803.4229999999998</v>
      </c>
      <c r="L107" s="160">
        <f t="shared" si="42"/>
        <v>2912.6735300365249</v>
      </c>
      <c r="M107" s="160">
        <f t="shared" si="42"/>
        <v>2965.553530036525</v>
      </c>
      <c r="N107" s="161">
        <f t="shared" si="42"/>
        <v>2916.6935300365249</v>
      </c>
    </row>
    <row r="108" spans="1:15" s="13" customFormat="1" ht="15" customHeight="1" x14ac:dyDescent="0.2">
      <c r="A108" s="25"/>
      <c r="B108" s="89" t="s">
        <v>113</v>
      </c>
      <c r="C108" s="101">
        <f t="shared" ref="C108:N108" si="43">C98</f>
        <v>2190.75</v>
      </c>
      <c r="D108" s="101">
        <f t="shared" si="43"/>
        <v>2387.83</v>
      </c>
      <c r="E108" s="102">
        <f t="shared" si="43"/>
        <v>2396.5</v>
      </c>
      <c r="F108" s="102">
        <f t="shared" si="43"/>
        <v>2360.83</v>
      </c>
      <c r="G108" s="157">
        <f t="shared" si="43"/>
        <v>2338.6</v>
      </c>
      <c r="H108" s="101">
        <f t="shared" si="43"/>
        <v>2349.63</v>
      </c>
      <c r="I108" s="101">
        <f t="shared" si="43"/>
        <v>2605.3000000000002</v>
      </c>
      <c r="J108" s="101">
        <f t="shared" si="43"/>
        <v>2631.86</v>
      </c>
      <c r="K108" s="101">
        <f t="shared" si="43"/>
        <v>2580.61</v>
      </c>
      <c r="L108" s="101">
        <f t="shared" si="43"/>
        <v>2625.93</v>
      </c>
      <c r="M108" s="101">
        <f t="shared" si="43"/>
        <v>2678.81</v>
      </c>
      <c r="N108" s="158">
        <f t="shared" si="43"/>
        <v>2629.95</v>
      </c>
    </row>
    <row r="109" spans="1:15" s="13" customFormat="1" ht="15" customHeight="1" x14ac:dyDescent="0.2">
      <c r="A109" s="40"/>
      <c r="B109" s="90" t="s">
        <v>9</v>
      </c>
      <c r="C109" s="114">
        <f t="shared" ref="C109:N109" si="44">C100</f>
        <v>217.45000000000002</v>
      </c>
      <c r="D109" s="114">
        <f t="shared" si="44"/>
        <v>217.45000000000002</v>
      </c>
      <c r="E109" s="115">
        <f t="shared" si="44"/>
        <v>217.45000000000002</v>
      </c>
      <c r="F109" s="115">
        <f t="shared" si="44"/>
        <v>217.45000000000002</v>
      </c>
      <c r="G109" s="121">
        <f t="shared" si="44"/>
        <v>217.45000000000002</v>
      </c>
      <c r="H109" s="115">
        <f t="shared" si="44"/>
        <v>217.45000000000002</v>
      </c>
      <c r="I109" s="115">
        <f t="shared" si="44"/>
        <v>217.45000000000002</v>
      </c>
      <c r="J109" s="115">
        <f t="shared" si="44"/>
        <v>217.45000000000002</v>
      </c>
      <c r="K109" s="115">
        <f t="shared" si="44"/>
        <v>217.45000000000002</v>
      </c>
      <c r="L109" s="115">
        <f t="shared" si="44"/>
        <v>280.62</v>
      </c>
      <c r="M109" s="115">
        <f t="shared" si="44"/>
        <v>280.62</v>
      </c>
      <c r="N109" s="122">
        <f t="shared" si="44"/>
        <v>280.62</v>
      </c>
    </row>
    <row r="110" spans="1:15" s="13" customFormat="1" ht="15" customHeight="1" x14ac:dyDescent="0.2">
      <c r="A110" s="81"/>
      <c r="B110" s="91" t="s">
        <v>42</v>
      </c>
      <c r="C110" s="106">
        <f t="shared" ref="C110:N110" si="45">C101</f>
        <v>5.3629999999999995</v>
      </c>
      <c r="D110" s="106">
        <f t="shared" si="45"/>
        <v>5.3629999999999995</v>
      </c>
      <c r="E110" s="107">
        <f t="shared" si="45"/>
        <v>5.3629999999999995</v>
      </c>
      <c r="F110" s="107">
        <f t="shared" si="45"/>
        <v>5.3629999999999995</v>
      </c>
      <c r="G110" s="108">
        <f t="shared" si="45"/>
        <v>5.3629999999999995</v>
      </c>
      <c r="H110" s="106">
        <f t="shared" si="45"/>
        <v>5.3629999999999995</v>
      </c>
      <c r="I110" s="106">
        <f t="shared" si="45"/>
        <v>5.3629999999999995</v>
      </c>
      <c r="J110" s="106">
        <f t="shared" si="45"/>
        <v>5.3629999999999995</v>
      </c>
      <c r="K110" s="106">
        <f t="shared" si="45"/>
        <v>5.3629999999999995</v>
      </c>
      <c r="L110" s="106">
        <f t="shared" si="45"/>
        <v>6.1235300365250511</v>
      </c>
      <c r="M110" s="106">
        <f t="shared" si="45"/>
        <v>6.1235300365250511</v>
      </c>
      <c r="N110" s="109">
        <f t="shared" si="45"/>
        <v>6.1235300365250511</v>
      </c>
    </row>
    <row r="111" spans="1:15" s="13" customFormat="1" ht="25.5" x14ac:dyDescent="0.2">
      <c r="A111" s="82"/>
      <c r="B111" s="87" t="s">
        <v>118</v>
      </c>
      <c r="C111" s="119">
        <f>SUM(C112:C113)</f>
        <v>1063691.4400000002</v>
      </c>
      <c r="D111" s="119">
        <f t="shared" ref="D111:N111" si="46">SUM(D112:D113)</f>
        <v>1007002.78</v>
      </c>
      <c r="E111" s="120">
        <f t="shared" si="46"/>
        <v>1062450.8899999999</v>
      </c>
      <c r="F111" s="120">
        <f t="shared" si="46"/>
        <v>1056190.19</v>
      </c>
      <c r="G111" s="119">
        <f t="shared" si="46"/>
        <v>1227142.22</v>
      </c>
      <c r="H111" s="119">
        <f t="shared" si="46"/>
        <v>1197387.5999999999</v>
      </c>
      <c r="I111" s="119">
        <f t="shared" si="46"/>
        <v>1200392.96</v>
      </c>
      <c r="J111" s="119">
        <f t="shared" si="46"/>
        <v>1192228.79</v>
      </c>
      <c r="K111" s="119">
        <f t="shared" si="46"/>
        <v>1192669.18</v>
      </c>
      <c r="L111" s="119">
        <f t="shared" si="46"/>
        <v>1225813.8399999999</v>
      </c>
      <c r="M111" s="119">
        <f t="shared" si="46"/>
        <v>1234126.6700000002</v>
      </c>
      <c r="N111" s="118">
        <f t="shared" si="46"/>
        <v>1233361.28</v>
      </c>
    </row>
    <row r="112" spans="1:15" s="13" customFormat="1" ht="25.5" x14ac:dyDescent="0.2">
      <c r="A112" s="178"/>
      <c r="B112" s="91" t="s">
        <v>116</v>
      </c>
      <c r="C112" s="146">
        <v>850.58</v>
      </c>
      <c r="D112" s="146">
        <v>1150.1400000000001</v>
      </c>
      <c r="E112" s="99">
        <v>1178.98</v>
      </c>
      <c r="F112" s="99">
        <v>1377.28</v>
      </c>
      <c r="G112" s="147">
        <v>1386.94</v>
      </c>
      <c r="H112" s="146">
        <v>1354.18</v>
      </c>
      <c r="I112" s="146">
        <v>1251.6600000000001</v>
      </c>
      <c r="J112" s="146">
        <v>1551.11</v>
      </c>
      <c r="K112" s="146">
        <v>1608.71</v>
      </c>
      <c r="L112" s="146">
        <v>1250.6400000000001</v>
      </c>
      <c r="M112" s="146">
        <v>1067.3599999999999</v>
      </c>
      <c r="N112" s="158">
        <v>1060.92</v>
      </c>
    </row>
    <row r="113" spans="1:15" s="13" customFormat="1" ht="26.25" thickBot="1" x14ac:dyDescent="0.25">
      <c r="A113" s="178"/>
      <c r="B113" s="90" t="s">
        <v>117</v>
      </c>
      <c r="C113" s="101">
        <v>1062840.8600000001</v>
      </c>
      <c r="D113" s="101">
        <v>1005852.64</v>
      </c>
      <c r="E113" s="102">
        <v>1061271.9099999999</v>
      </c>
      <c r="F113" s="102">
        <v>1054812.9099999999</v>
      </c>
      <c r="G113" s="157">
        <v>1225755.28</v>
      </c>
      <c r="H113" s="101">
        <v>1196033.42</v>
      </c>
      <c r="I113" s="101">
        <v>1199141.3</v>
      </c>
      <c r="J113" s="101">
        <v>1190677.68</v>
      </c>
      <c r="K113" s="101">
        <v>1191060.47</v>
      </c>
      <c r="L113" s="101">
        <v>1224563.2</v>
      </c>
      <c r="M113" s="101">
        <v>1233059.31</v>
      </c>
      <c r="N113" s="148">
        <v>1232300.3600000001</v>
      </c>
    </row>
    <row r="114" spans="1:15" s="13" customFormat="1" ht="15" thickBot="1" x14ac:dyDescent="0.25">
      <c r="A114" s="36" t="s">
        <v>92</v>
      </c>
      <c r="B114" s="37" t="s">
        <v>66</v>
      </c>
      <c r="C114" s="20"/>
      <c r="D114" s="20"/>
      <c r="E114" s="21"/>
      <c r="F114" s="21"/>
      <c r="G114" s="66"/>
      <c r="H114" s="20"/>
      <c r="I114" s="20"/>
      <c r="J114" s="20"/>
      <c r="K114" s="20"/>
      <c r="L114" s="20"/>
      <c r="M114" s="20"/>
      <c r="N114" s="55"/>
    </row>
    <row r="115" spans="1:15" s="13" customFormat="1" ht="14.25" customHeight="1" x14ac:dyDescent="0.2">
      <c r="A115" s="85"/>
      <c r="B115" s="88" t="s">
        <v>61</v>
      </c>
      <c r="C115" s="159">
        <f>SUM(C116:C118)</f>
        <v>2413.5629999999996</v>
      </c>
      <c r="D115" s="159">
        <f t="shared" ref="D115:N115" si="47">SUM(D116:D118)</f>
        <v>2610.6429999999996</v>
      </c>
      <c r="E115" s="160">
        <f t="shared" si="47"/>
        <v>2619.3129999999996</v>
      </c>
      <c r="F115" s="160">
        <f t="shared" si="47"/>
        <v>2583.6429999999996</v>
      </c>
      <c r="G115" s="160">
        <f t="shared" si="47"/>
        <v>2561.4129999999996</v>
      </c>
      <c r="H115" s="160">
        <f t="shared" si="47"/>
        <v>2572.4429999999998</v>
      </c>
      <c r="I115" s="160">
        <f t="shared" si="47"/>
        <v>2828.1129999999998</v>
      </c>
      <c r="J115" s="160">
        <f t="shared" si="47"/>
        <v>2854.6729999999998</v>
      </c>
      <c r="K115" s="160">
        <f t="shared" si="47"/>
        <v>2803.4229999999998</v>
      </c>
      <c r="L115" s="160">
        <f t="shared" si="47"/>
        <v>2912.6735300365249</v>
      </c>
      <c r="M115" s="160">
        <f t="shared" si="47"/>
        <v>2965.553530036525</v>
      </c>
      <c r="N115" s="161">
        <f t="shared" si="47"/>
        <v>2916.6935300365249</v>
      </c>
    </row>
    <row r="116" spans="1:15" s="13" customFormat="1" x14ac:dyDescent="0.2">
      <c r="A116" s="25"/>
      <c r="B116" s="89" t="s">
        <v>113</v>
      </c>
      <c r="C116" s="101">
        <f t="shared" ref="C116:N116" si="48">C98</f>
        <v>2190.75</v>
      </c>
      <c r="D116" s="101">
        <f t="shared" si="48"/>
        <v>2387.83</v>
      </c>
      <c r="E116" s="102">
        <f t="shared" si="48"/>
        <v>2396.5</v>
      </c>
      <c r="F116" s="102">
        <f t="shared" si="48"/>
        <v>2360.83</v>
      </c>
      <c r="G116" s="157">
        <f t="shared" si="48"/>
        <v>2338.6</v>
      </c>
      <c r="H116" s="101">
        <f t="shared" si="48"/>
        <v>2349.63</v>
      </c>
      <c r="I116" s="101">
        <f t="shared" si="48"/>
        <v>2605.3000000000002</v>
      </c>
      <c r="J116" s="101">
        <f t="shared" si="48"/>
        <v>2631.86</v>
      </c>
      <c r="K116" s="101">
        <f t="shared" si="48"/>
        <v>2580.61</v>
      </c>
      <c r="L116" s="101">
        <f t="shared" si="48"/>
        <v>2625.93</v>
      </c>
      <c r="M116" s="101">
        <f t="shared" si="48"/>
        <v>2678.81</v>
      </c>
      <c r="N116" s="158">
        <f t="shared" si="48"/>
        <v>2629.95</v>
      </c>
    </row>
    <row r="117" spans="1:15" s="13" customFormat="1" x14ac:dyDescent="0.2">
      <c r="A117" s="40"/>
      <c r="B117" s="90" t="s">
        <v>9</v>
      </c>
      <c r="C117" s="114">
        <f t="shared" ref="C117:N117" si="49">C100</f>
        <v>217.45000000000002</v>
      </c>
      <c r="D117" s="114">
        <f t="shared" si="49"/>
        <v>217.45000000000002</v>
      </c>
      <c r="E117" s="115">
        <f t="shared" si="49"/>
        <v>217.45000000000002</v>
      </c>
      <c r="F117" s="115">
        <f t="shared" si="49"/>
        <v>217.45000000000002</v>
      </c>
      <c r="G117" s="121">
        <f t="shared" si="49"/>
        <v>217.45000000000002</v>
      </c>
      <c r="H117" s="115">
        <f t="shared" si="49"/>
        <v>217.45000000000002</v>
      </c>
      <c r="I117" s="115">
        <f t="shared" si="49"/>
        <v>217.45000000000002</v>
      </c>
      <c r="J117" s="115">
        <f t="shared" si="49"/>
        <v>217.45000000000002</v>
      </c>
      <c r="K117" s="115">
        <f t="shared" si="49"/>
        <v>217.45000000000002</v>
      </c>
      <c r="L117" s="115">
        <f t="shared" si="49"/>
        <v>280.62</v>
      </c>
      <c r="M117" s="115">
        <f t="shared" si="49"/>
        <v>280.62</v>
      </c>
      <c r="N117" s="122">
        <f t="shared" si="49"/>
        <v>280.62</v>
      </c>
    </row>
    <row r="118" spans="1:15" s="13" customFormat="1" x14ac:dyDescent="0.2">
      <c r="A118" s="81"/>
      <c r="B118" s="91" t="s">
        <v>42</v>
      </c>
      <c r="C118" s="106">
        <f t="shared" ref="C118:N118" si="50">C101</f>
        <v>5.3629999999999995</v>
      </c>
      <c r="D118" s="106">
        <f t="shared" si="50"/>
        <v>5.3629999999999995</v>
      </c>
      <c r="E118" s="107">
        <f t="shared" si="50"/>
        <v>5.3629999999999995</v>
      </c>
      <c r="F118" s="107">
        <f t="shared" si="50"/>
        <v>5.3629999999999995</v>
      </c>
      <c r="G118" s="108">
        <f t="shared" si="50"/>
        <v>5.3629999999999995</v>
      </c>
      <c r="H118" s="106">
        <f t="shared" si="50"/>
        <v>5.3629999999999995</v>
      </c>
      <c r="I118" s="106">
        <f t="shared" si="50"/>
        <v>5.3629999999999995</v>
      </c>
      <c r="J118" s="106">
        <f t="shared" si="50"/>
        <v>5.3629999999999995</v>
      </c>
      <c r="K118" s="106">
        <f t="shared" si="50"/>
        <v>5.3629999999999995</v>
      </c>
      <c r="L118" s="106">
        <f t="shared" si="50"/>
        <v>6.1235300365250511</v>
      </c>
      <c r="M118" s="106">
        <f t="shared" si="50"/>
        <v>6.1235300365250511</v>
      </c>
      <c r="N118" s="109">
        <f t="shared" si="50"/>
        <v>6.1235300365250511</v>
      </c>
    </row>
    <row r="119" spans="1:15" s="13" customFormat="1" ht="25.5" x14ac:dyDescent="0.2">
      <c r="A119" s="82"/>
      <c r="B119" s="87" t="s">
        <v>118</v>
      </c>
      <c r="C119" s="119">
        <f>SUM(C120:C121)</f>
        <v>1063691.4400000002</v>
      </c>
      <c r="D119" s="119">
        <f t="shared" ref="D119:N119" si="51">SUM(D120:D121)</f>
        <v>1007002.78</v>
      </c>
      <c r="E119" s="120">
        <f t="shared" si="51"/>
        <v>1062450.8899999999</v>
      </c>
      <c r="F119" s="120">
        <f t="shared" si="51"/>
        <v>1056190.19</v>
      </c>
      <c r="G119" s="119">
        <f t="shared" si="51"/>
        <v>1227142.22</v>
      </c>
      <c r="H119" s="119">
        <f t="shared" si="51"/>
        <v>1197387.5999999999</v>
      </c>
      <c r="I119" s="119">
        <f t="shared" si="51"/>
        <v>1200392.96</v>
      </c>
      <c r="J119" s="119">
        <f t="shared" si="51"/>
        <v>1192228.79</v>
      </c>
      <c r="K119" s="119">
        <f t="shared" si="51"/>
        <v>1192669.18</v>
      </c>
      <c r="L119" s="119">
        <f t="shared" si="51"/>
        <v>1225813.8399999999</v>
      </c>
      <c r="M119" s="119">
        <f t="shared" si="51"/>
        <v>1234126.6700000002</v>
      </c>
      <c r="N119" s="118">
        <f t="shared" si="51"/>
        <v>1233361.28</v>
      </c>
    </row>
    <row r="120" spans="1:15" s="13" customFormat="1" ht="25.5" x14ac:dyDescent="0.2">
      <c r="A120" s="178"/>
      <c r="B120" s="91" t="s">
        <v>116</v>
      </c>
      <c r="C120" s="146">
        <v>850.58</v>
      </c>
      <c r="D120" s="146">
        <v>1150.1400000000001</v>
      </c>
      <c r="E120" s="99">
        <v>1178.98</v>
      </c>
      <c r="F120" s="99">
        <v>1377.28</v>
      </c>
      <c r="G120" s="147">
        <v>1386.94</v>
      </c>
      <c r="H120" s="146">
        <v>1354.18</v>
      </c>
      <c r="I120" s="146">
        <v>1251.6600000000001</v>
      </c>
      <c r="J120" s="146">
        <v>1551.11</v>
      </c>
      <c r="K120" s="146">
        <v>1608.71</v>
      </c>
      <c r="L120" s="146">
        <v>1250.6400000000001</v>
      </c>
      <c r="M120" s="146">
        <v>1067.3599999999999</v>
      </c>
      <c r="N120" s="158">
        <v>1060.92</v>
      </c>
    </row>
    <row r="121" spans="1:15" s="13" customFormat="1" ht="25.5" x14ac:dyDescent="0.2">
      <c r="A121" s="178"/>
      <c r="B121" s="90" t="s">
        <v>117</v>
      </c>
      <c r="C121" s="146">
        <v>1062840.8600000001</v>
      </c>
      <c r="D121" s="146">
        <v>1005852.64</v>
      </c>
      <c r="E121" s="99">
        <v>1061271.9099999999</v>
      </c>
      <c r="F121" s="99">
        <v>1054812.9099999999</v>
      </c>
      <c r="G121" s="147">
        <v>1225755.28</v>
      </c>
      <c r="H121" s="146">
        <v>1196033.42</v>
      </c>
      <c r="I121" s="146">
        <v>1199141.3</v>
      </c>
      <c r="J121" s="146">
        <v>1190677.68</v>
      </c>
      <c r="K121" s="146">
        <v>1191060.47</v>
      </c>
      <c r="L121" s="146">
        <v>1224563.2</v>
      </c>
      <c r="M121" s="146">
        <v>1233059.31</v>
      </c>
      <c r="N121" s="148">
        <v>1232300.3600000001</v>
      </c>
    </row>
    <row r="122" spans="1:15" s="13" customFormat="1" ht="26.25" thickBot="1" x14ac:dyDescent="0.25">
      <c r="A122" s="32"/>
      <c r="B122" s="93" t="s">
        <v>65</v>
      </c>
      <c r="C122" s="129">
        <f>C105</f>
        <v>1502350</v>
      </c>
      <c r="D122" s="129">
        <f t="shared" ref="D122:N122" si="52">D105</f>
        <v>1502350</v>
      </c>
      <c r="E122" s="130">
        <f t="shared" si="52"/>
        <v>1502350</v>
      </c>
      <c r="F122" s="130">
        <f t="shared" si="52"/>
        <v>1502350</v>
      </c>
      <c r="G122" s="133">
        <f t="shared" si="52"/>
        <v>1502350</v>
      </c>
      <c r="H122" s="129">
        <f t="shared" si="52"/>
        <v>1502350</v>
      </c>
      <c r="I122" s="129">
        <f t="shared" si="52"/>
        <v>1502350</v>
      </c>
      <c r="J122" s="129">
        <f t="shared" si="52"/>
        <v>1502350</v>
      </c>
      <c r="K122" s="129">
        <f t="shared" si="52"/>
        <v>1502350</v>
      </c>
      <c r="L122" s="129">
        <f t="shared" si="52"/>
        <v>1807327.05</v>
      </c>
      <c r="M122" s="129">
        <f t="shared" si="52"/>
        <v>1807327.05</v>
      </c>
      <c r="N122" s="134">
        <f t="shared" si="52"/>
        <v>1807327.05</v>
      </c>
    </row>
    <row r="123" spans="1:15" s="13" customFormat="1" x14ac:dyDescent="0.2">
      <c r="A123" s="45"/>
      <c r="B123" s="95"/>
      <c r="C123" s="96"/>
      <c r="D123" s="96"/>
      <c r="E123" s="97"/>
      <c r="F123" s="97"/>
      <c r="G123" s="96"/>
      <c r="H123" s="96"/>
      <c r="I123" s="96"/>
      <c r="J123" s="96"/>
      <c r="K123" s="96"/>
      <c r="L123" s="96"/>
      <c r="M123" s="96"/>
      <c r="N123" s="96"/>
    </row>
    <row r="124" spans="1:15" s="13" customFormat="1" x14ac:dyDescent="0.2">
      <c r="A124" s="45"/>
      <c r="B124" s="95"/>
      <c r="C124" s="96"/>
      <c r="D124" s="96"/>
      <c r="E124" s="97"/>
      <c r="F124" s="97"/>
      <c r="G124" s="96"/>
      <c r="H124" s="96"/>
      <c r="I124" s="96"/>
      <c r="J124" s="96"/>
      <c r="K124" s="96"/>
      <c r="L124" s="96"/>
      <c r="M124" s="96"/>
      <c r="N124" s="96"/>
    </row>
    <row r="125" spans="1:15" s="59" customFormat="1" ht="21" customHeight="1" thickBot="1" x14ac:dyDescent="0.25">
      <c r="A125" s="7" t="s">
        <v>82</v>
      </c>
      <c r="B125" s="7"/>
      <c r="C125" s="7"/>
      <c r="D125" s="7"/>
      <c r="E125" s="7"/>
      <c r="F125" s="7"/>
      <c r="G125" s="5"/>
      <c r="H125" s="5"/>
      <c r="I125" s="5"/>
      <c r="J125" s="5"/>
      <c r="K125" s="5"/>
      <c r="L125" s="6"/>
      <c r="M125" s="6"/>
      <c r="N125" s="6"/>
    </row>
    <row r="126" spans="1:15" s="13" customFormat="1" ht="24" customHeight="1" thickBot="1" x14ac:dyDescent="0.25">
      <c r="A126" s="49" t="s">
        <v>0</v>
      </c>
      <c r="B126" s="50" t="s">
        <v>1</v>
      </c>
      <c r="C126" s="51" t="s">
        <v>17</v>
      </c>
      <c r="D126" s="51" t="s">
        <v>18</v>
      </c>
      <c r="E126" s="51" t="s">
        <v>19</v>
      </c>
      <c r="F126" s="51" t="s">
        <v>20</v>
      </c>
      <c r="G126" s="51" t="s">
        <v>21</v>
      </c>
      <c r="H126" s="51" t="s">
        <v>22</v>
      </c>
      <c r="I126" s="51" t="s">
        <v>23</v>
      </c>
      <c r="J126" s="51" t="s">
        <v>24</v>
      </c>
      <c r="K126" s="51" t="s">
        <v>25</v>
      </c>
      <c r="L126" s="51" t="s">
        <v>26</v>
      </c>
      <c r="M126" s="51" t="s">
        <v>27</v>
      </c>
      <c r="N126" s="52" t="s">
        <v>28</v>
      </c>
    </row>
    <row r="127" spans="1:15" s="17" customFormat="1" ht="21" customHeight="1" thickBot="1" x14ac:dyDescent="0.25">
      <c r="A127" s="14" t="s">
        <v>34</v>
      </c>
      <c r="B127" s="15" t="s">
        <v>5</v>
      </c>
      <c r="C127" s="135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2"/>
      <c r="O127" s="44"/>
    </row>
    <row r="128" spans="1:15" s="17" customFormat="1" ht="13.5" thickBot="1" x14ac:dyDescent="0.25">
      <c r="A128" s="18" t="s">
        <v>35</v>
      </c>
      <c r="B128" s="78" t="s">
        <v>7</v>
      </c>
      <c r="C128" s="20"/>
      <c r="D128" s="20"/>
      <c r="E128" s="21"/>
      <c r="F128" s="21"/>
      <c r="G128" s="63"/>
      <c r="H128" s="21"/>
      <c r="I128" s="21"/>
      <c r="J128" s="21"/>
      <c r="K128" s="21"/>
      <c r="L128" s="21"/>
      <c r="M128" s="21"/>
      <c r="N128" s="22"/>
      <c r="O128" s="61"/>
    </row>
    <row r="129" spans="1:15" s="17" customFormat="1" ht="14.25" customHeight="1" x14ac:dyDescent="0.2">
      <c r="A129" s="83"/>
      <c r="B129" s="86" t="s">
        <v>61</v>
      </c>
      <c r="C129" s="155">
        <f>SUM(C130:C133)</f>
        <v>3521.4429999999998</v>
      </c>
      <c r="D129" s="155">
        <f t="shared" ref="D129:N129" si="53">SUM(D130:D133)</f>
        <v>3718.5229999999997</v>
      </c>
      <c r="E129" s="156">
        <f t="shared" si="53"/>
        <v>3727.1929999999998</v>
      </c>
      <c r="F129" s="156">
        <f t="shared" si="53"/>
        <v>3691.5229999999997</v>
      </c>
      <c r="G129" s="156">
        <f t="shared" si="53"/>
        <v>3669.2929999999997</v>
      </c>
      <c r="H129" s="156">
        <f t="shared" si="53"/>
        <v>3680.3229999999999</v>
      </c>
      <c r="I129" s="156">
        <f t="shared" si="53"/>
        <v>3935.9929999999999</v>
      </c>
      <c r="J129" s="156">
        <f t="shared" si="53"/>
        <v>3962.5529999999999</v>
      </c>
      <c r="K129" s="156">
        <f t="shared" si="53"/>
        <v>3911.3029999999999</v>
      </c>
      <c r="L129" s="156">
        <f t="shared" si="53"/>
        <v>4188.9535300365251</v>
      </c>
      <c r="M129" s="156">
        <f t="shared" si="53"/>
        <v>4241.8335300365252</v>
      </c>
      <c r="N129" s="162">
        <f t="shared" si="53"/>
        <v>4192.9735300365246</v>
      </c>
      <c r="O129" s="61"/>
    </row>
    <row r="130" spans="1:15" s="13" customFormat="1" ht="15" customHeight="1" x14ac:dyDescent="0.2">
      <c r="A130" s="29"/>
      <c r="B130" s="89" t="s">
        <v>113</v>
      </c>
      <c r="C130" s="101">
        <v>2190.75</v>
      </c>
      <c r="D130" s="101">
        <v>2387.83</v>
      </c>
      <c r="E130" s="102">
        <v>2396.5</v>
      </c>
      <c r="F130" s="102">
        <v>2360.83</v>
      </c>
      <c r="G130" s="157">
        <v>2338.6</v>
      </c>
      <c r="H130" s="101">
        <v>2349.63</v>
      </c>
      <c r="I130" s="101">
        <v>2605.3000000000002</v>
      </c>
      <c r="J130" s="101">
        <v>2631.86</v>
      </c>
      <c r="K130" s="101">
        <v>2580.61</v>
      </c>
      <c r="L130" s="101">
        <v>2625.93</v>
      </c>
      <c r="M130" s="101">
        <v>2678.81</v>
      </c>
      <c r="N130" s="158">
        <v>2629.95</v>
      </c>
      <c r="O130" s="61"/>
    </row>
    <row r="131" spans="1:15" s="13" customFormat="1" ht="15" customHeight="1" x14ac:dyDescent="0.2">
      <c r="A131" s="25"/>
      <c r="B131" s="90" t="s">
        <v>64</v>
      </c>
      <c r="C131" s="114">
        <v>1107.8800000000001</v>
      </c>
      <c r="D131" s="114">
        <v>1107.8800000000001</v>
      </c>
      <c r="E131" s="115">
        <v>1107.8800000000001</v>
      </c>
      <c r="F131" s="115">
        <v>1107.8800000000001</v>
      </c>
      <c r="G131" s="116">
        <v>1107.8800000000001</v>
      </c>
      <c r="H131" s="114">
        <v>1107.8800000000001</v>
      </c>
      <c r="I131" s="114">
        <v>1107.8800000000001</v>
      </c>
      <c r="J131" s="114">
        <v>1107.8800000000001</v>
      </c>
      <c r="K131" s="114">
        <v>1107.8800000000001</v>
      </c>
      <c r="L131" s="114">
        <v>1276.28</v>
      </c>
      <c r="M131" s="114">
        <v>1276.28</v>
      </c>
      <c r="N131" s="117">
        <v>1276.28</v>
      </c>
      <c r="O131" s="61"/>
    </row>
    <row r="132" spans="1:15" s="13" customFormat="1" ht="15" customHeight="1" x14ac:dyDescent="0.2">
      <c r="A132" s="29"/>
      <c r="B132" s="89" t="s">
        <v>9</v>
      </c>
      <c r="C132" s="114">
        <v>217.45000000000002</v>
      </c>
      <c r="D132" s="114">
        <v>217.45000000000002</v>
      </c>
      <c r="E132" s="115">
        <v>217.45000000000002</v>
      </c>
      <c r="F132" s="115">
        <v>217.45000000000002</v>
      </c>
      <c r="G132" s="116">
        <v>217.45000000000002</v>
      </c>
      <c r="H132" s="114">
        <v>217.45000000000002</v>
      </c>
      <c r="I132" s="114">
        <v>217.45000000000002</v>
      </c>
      <c r="J132" s="114">
        <v>217.45000000000002</v>
      </c>
      <c r="K132" s="114">
        <v>217.45000000000002</v>
      </c>
      <c r="L132" s="114">
        <v>280.62</v>
      </c>
      <c r="M132" s="114">
        <v>280.62</v>
      </c>
      <c r="N132" s="117">
        <v>280.62</v>
      </c>
      <c r="O132" s="61"/>
    </row>
    <row r="133" spans="1:15" s="13" customFormat="1" ht="15" customHeight="1" x14ac:dyDescent="0.2">
      <c r="A133" s="81"/>
      <c r="B133" s="91" t="s">
        <v>42</v>
      </c>
      <c r="C133" s="106">
        <v>5.3629999999999995</v>
      </c>
      <c r="D133" s="106">
        <v>5.3629999999999995</v>
      </c>
      <c r="E133" s="107">
        <v>5.3629999999999995</v>
      </c>
      <c r="F133" s="107">
        <v>5.3629999999999995</v>
      </c>
      <c r="G133" s="108">
        <v>5.3629999999999995</v>
      </c>
      <c r="H133" s="106">
        <v>5.3629999999999995</v>
      </c>
      <c r="I133" s="106">
        <v>5.3629999999999995</v>
      </c>
      <c r="J133" s="106">
        <v>5.3629999999999995</v>
      </c>
      <c r="K133" s="106">
        <v>5.3629999999999995</v>
      </c>
      <c r="L133" s="106">
        <v>6.1235300365250511</v>
      </c>
      <c r="M133" s="106">
        <v>6.1235300365250511</v>
      </c>
      <c r="N133" s="109">
        <v>6.1235300365250511</v>
      </c>
      <c r="O133" s="61"/>
    </row>
    <row r="134" spans="1:15" s="13" customFormat="1" ht="25.5" x14ac:dyDescent="0.2">
      <c r="A134" s="82"/>
      <c r="B134" s="87" t="s">
        <v>118</v>
      </c>
      <c r="C134" s="119">
        <f>SUM(C135:C136)</f>
        <v>1063691.4400000002</v>
      </c>
      <c r="D134" s="119">
        <f t="shared" ref="D134:N134" si="54">SUM(D135:D136)</f>
        <v>1007002.78</v>
      </c>
      <c r="E134" s="120">
        <f t="shared" si="54"/>
        <v>1062450.8899999999</v>
      </c>
      <c r="F134" s="120">
        <f t="shared" si="54"/>
        <v>1056190.19</v>
      </c>
      <c r="G134" s="119">
        <f t="shared" si="54"/>
        <v>1227142.22</v>
      </c>
      <c r="H134" s="119">
        <f t="shared" si="54"/>
        <v>1197387.5999999999</v>
      </c>
      <c r="I134" s="119">
        <f t="shared" si="54"/>
        <v>1200392.96</v>
      </c>
      <c r="J134" s="119">
        <f t="shared" si="54"/>
        <v>1192228.79</v>
      </c>
      <c r="K134" s="119">
        <f t="shared" si="54"/>
        <v>1192669.18</v>
      </c>
      <c r="L134" s="119">
        <f t="shared" si="54"/>
        <v>1225813.8399999999</v>
      </c>
      <c r="M134" s="119">
        <f t="shared" si="54"/>
        <v>1234126.6700000002</v>
      </c>
      <c r="N134" s="118">
        <f t="shared" si="54"/>
        <v>1233361.28</v>
      </c>
      <c r="O134" s="61"/>
    </row>
    <row r="135" spans="1:15" s="13" customFormat="1" ht="25.5" x14ac:dyDescent="0.2">
      <c r="A135" s="178"/>
      <c r="B135" s="91" t="s">
        <v>116</v>
      </c>
      <c r="C135" s="146">
        <v>850.58</v>
      </c>
      <c r="D135" s="146">
        <v>1150.1400000000001</v>
      </c>
      <c r="E135" s="99">
        <v>1178.98</v>
      </c>
      <c r="F135" s="99">
        <v>1377.28</v>
      </c>
      <c r="G135" s="147">
        <v>1386.94</v>
      </c>
      <c r="H135" s="146">
        <v>1354.18</v>
      </c>
      <c r="I135" s="146">
        <v>1251.6600000000001</v>
      </c>
      <c r="J135" s="146">
        <v>1551.11</v>
      </c>
      <c r="K135" s="146">
        <v>1608.71</v>
      </c>
      <c r="L135" s="146">
        <v>1250.6400000000001</v>
      </c>
      <c r="M135" s="146">
        <v>1067.3599999999999</v>
      </c>
      <c r="N135" s="158">
        <v>1060.92</v>
      </c>
      <c r="O135" s="61"/>
    </row>
    <row r="136" spans="1:15" s="13" customFormat="1" ht="25.5" x14ac:dyDescent="0.2">
      <c r="A136" s="198"/>
      <c r="B136" s="90" t="s">
        <v>117</v>
      </c>
      <c r="C136" s="146">
        <v>1062840.8600000001</v>
      </c>
      <c r="D136" s="146">
        <v>1005852.64</v>
      </c>
      <c r="E136" s="99">
        <v>1061271.9099999999</v>
      </c>
      <c r="F136" s="99">
        <v>1054812.9099999999</v>
      </c>
      <c r="G136" s="147">
        <v>1225755.28</v>
      </c>
      <c r="H136" s="146">
        <v>1196033.42</v>
      </c>
      <c r="I136" s="146">
        <v>1199141.3</v>
      </c>
      <c r="J136" s="146">
        <v>1190677.68</v>
      </c>
      <c r="K136" s="146">
        <v>1191060.47</v>
      </c>
      <c r="L136" s="146">
        <v>1224563.2</v>
      </c>
      <c r="M136" s="146">
        <v>1233059.31</v>
      </c>
      <c r="N136" s="146">
        <v>1232300.3600000001</v>
      </c>
      <c r="O136" s="61"/>
    </row>
    <row r="137" spans="1:15" s="13" customFormat="1" ht="26.25" thickBot="1" x14ac:dyDescent="0.25">
      <c r="A137" s="41"/>
      <c r="B137" s="191" t="s">
        <v>65</v>
      </c>
      <c r="C137" s="128">
        <v>1697848.88</v>
      </c>
      <c r="D137" s="129">
        <v>1697848.88</v>
      </c>
      <c r="E137" s="130">
        <v>1697848.88</v>
      </c>
      <c r="F137" s="130">
        <v>1697848.88</v>
      </c>
      <c r="G137" s="131">
        <v>1697848.88</v>
      </c>
      <c r="H137" s="128">
        <v>1697848.88</v>
      </c>
      <c r="I137" s="129">
        <v>1697848.88</v>
      </c>
      <c r="J137" s="128">
        <v>1697848.88</v>
      </c>
      <c r="K137" s="129">
        <v>1697848.88</v>
      </c>
      <c r="L137" s="128">
        <v>2059490.69</v>
      </c>
      <c r="M137" s="129">
        <v>2059490.69</v>
      </c>
      <c r="N137" s="132">
        <v>2059490.69</v>
      </c>
      <c r="O137" s="61"/>
    </row>
    <row r="138" spans="1:15" s="13" customFormat="1" ht="26.25" thickBot="1" x14ac:dyDescent="0.25">
      <c r="A138" s="36" t="s">
        <v>36</v>
      </c>
      <c r="B138" s="37" t="s">
        <v>11</v>
      </c>
      <c r="C138" s="20"/>
      <c r="D138" s="20"/>
      <c r="E138" s="21"/>
      <c r="F138" s="21"/>
      <c r="G138" s="66"/>
      <c r="H138" s="20"/>
      <c r="I138" s="20"/>
      <c r="J138" s="20"/>
      <c r="K138" s="20"/>
      <c r="L138" s="20"/>
      <c r="M138" s="20"/>
      <c r="N138" s="55"/>
      <c r="O138" s="61"/>
    </row>
    <row r="139" spans="1:15" s="13" customFormat="1" ht="14.25" customHeight="1" x14ac:dyDescent="0.2">
      <c r="A139" s="85"/>
      <c r="B139" s="88" t="s">
        <v>61</v>
      </c>
      <c r="C139" s="159">
        <f>SUM(C140:C142)</f>
        <v>2413.5629999999996</v>
      </c>
      <c r="D139" s="159">
        <f t="shared" ref="D139:N139" si="55">SUM(D140:D142)</f>
        <v>2610.6429999999996</v>
      </c>
      <c r="E139" s="160">
        <f t="shared" si="55"/>
        <v>2619.3129999999996</v>
      </c>
      <c r="F139" s="160">
        <f t="shared" si="55"/>
        <v>2583.6429999999996</v>
      </c>
      <c r="G139" s="160">
        <f t="shared" si="55"/>
        <v>2561.4129999999996</v>
      </c>
      <c r="H139" s="160">
        <f t="shared" si="55"/>
        <v>2572.4429999999998</v>
      </c>
      <c r="I139" s="160">
        <f t="shared" si="55"/>
        <v>2828.1129999999998</v>
      </c>
      <c r="J139" s="160">
        <f t="shared" si="55"/>
        <v>2854.6729999999998</v>
      </c>
      <c r="K139" s="160">
        <f t="shared" si="55"/>
        <v>2803.4229999999998</v>
      </c>
      <c r="L139" s="160">
        <f t="shared" si="55"/>
        <v>2912.6735300365249</v>
      </c>
      <c r="M139" s="160">
        <f t="shared" si="55"/>
        <v>2965.553530036525</v>
      </c>
      <c r="N139" s="161">
        <f t="shared" si="55"/>
        <v>2916.6935300365249</v>
      </c>
      <c r="O139" s="61"/>
    </row>
    <row r="140" spans="1:15" s="13" customFormat="1" x14ac:dyDescent="0.2">
      <c r="A140" s="25"/>
      <c r="B140" s="89" t="s">
        <v>113</v>
      </c>
      <c r="C140" s="101">
        <f t="shared" ref="C140:N140" si="56">C130</f>
        <v>2190.75</v>
      </c>
      <c r="D140" s="101">
        <f t="shared" si="56"/>
        <v>2387.83</v>
      </c>
      <c r="E140" s="102">
        <f t="shared" si="56"/>
        <v>2396.5</v>
      </c>
      <c r="F140" s="102">
        <f t="shared" si="56"/>
        <v>2360.83</v>
      </c>
      <c r="G140" s="157">
        <f t="shared" si="56"/>
        <v>2338.6</v>
      </c>
      <c r="H140" s="101">
        <f t="shared" si="56"/>
        <v>2349.63</v>
      </c>
      <c r="I140" s="101">
        <f t="shared" si="56"/>
        <v>2605.3000000000002</v>
      </c>
      <c r="J140" s="101">
        <f t="shared" si="56"/>
        <v>2631.86</v>
      </c>
      <c r="K140" s="101">
        <f t="shared" si="56"/>
        <v>2580.61</v>
      </c>
      <c r="L140" s="101">
        <f t="shared" si="56"/>
        <v>2625.93</v>
      </c>
      <c r="M140" s="101">
        <f t="shared" si="56"/>
        <v>2678.81</v>
      </c>
      <c r="N140" s="158">
        <f t="shared" si="56"/>
        <v>2629.95</v>
      </c>
    </row>
    <row r="141" spans="1:15" s="13" customFormat="1" x14ac:dyDescent="0.2">
      <c r="A141" s="40"/>
      <c r="B141" s="90" t="s">
        <v>9</v>
      </c>
      <c r="C141" s="114">
        <f t="shared" ref="C141:N141" si="57">C132</f>
        <v>217.45000000000002</v>
      </c>
      <c r="D141" s="114">
        <f t="shared" si="57"/>
        <v>217.45000000000002</v>
      </c>
      <c r="E141" s="115">
        <f t="shared" si="57"/>
        <v>217.45000000000002</v>
      </c>
      <c r="F141" s="115">
        <f t="shared" si="57"/>
        <v>217.45000000000002</v>
      </c>
      <c r="G141" s="121">
        <f t="shared" si="57"/>
        <v>217.45000000000002</v>
      </c>
      <c r="H141" s="115">
        <f t="shared" si="57"/>
        <v>217.45000000000002</v>
      </c>
      <c r="I141" s="115">
        <f t="shared" si="57"/>
        <v>217.45000000000002</v>
      </c>
      <c r="J141" s="115">
        <f t="shared" si="57"/>
        <v>217.45000000000002</v>
      </c>
      <c r="K141" s="115">
        <f t="shared" si="57"/>
        <v>217.45000000000002</v>
      </c>
      <c r="L141" s="115">
        <f t="shared" si="57"/>
        <v>280.62</v>
      </c>
      <c r="M141" s="115">
        <f t="shared" si="57"/>
        <v>280.62</v>
      </c>
      <c r="N141" s="122">
        <f t="shared" si="57"/>
        <v>280.62</v>
      </c>
    </row>
    <row r="142" spans="1:15" s="13" customFormat="1" x14ac:dyDescent="0.2">
      <c r="A142" s="81"/>
      <c r="B142" s="91" t="s">
        <v>42</v>
      </c>
      <c r="C142" s="106">
        <f t="shared" ref="C142:N142" si="58">C133</f>
        <v>5.3629999999999995</v>
      </c>
      <c r="D142" s="106">
        <f t="shared" si="58"/>
        <v>5.3629999999999995</v>
      </c>
      <c r="E142" s="107">
        <f t="shared" si="58"/>
        <v>5.3629999999999995</v>
      </c>
      <c r="F142" s="107">
        <f t="shared" si="58"/>
        <v>5.3629999999999995</v>
      </c>
      <c r="G142" s="108">
        <f t="shared" si="58"/>
        <v>5.3629999999999995</v>
      </c>
      <c r="H142" s="106">
        <f t="shared" si="58"/>
        <v>5.3629999999999995</v>
      </c>
      <c r="I142" s="106">
        <f t="shared" si="58"/>
        <v>5.3629999999999995</v>
      </c>
      <c r="J142" s="106">
        <f t="shared" si="58"/>
        <v>5.3629999999999995</v>
      </c>
      <c r="K142" s="106">
        <f t="shared" si="58"/>
        <v>5.3629999999999995</v>
      </c>
      <c r="L142" s="106">
        <f t="shared" si="58"/>
        <v>6.1235300365250511</v>
      </c>
      <c r="M142" s="106">
        <f t="shared" si="58"/>
        <v>6.1235300365250511</v>
      </c>
      <c r="N142" s="109">
        <f t="shared" si="58"/>
        <v>6.1235300365250511</v>
      </c>
    </row>
    <row r="143" spans="1:15" s="13" customFormat="1" ht="25.5" x14ac:dyDescent="0.2">
      <c r="A143" s="82"/>
      <c r="B143" s="87" t="s">
        <v>118</v>
      </c>
      <c r="C143" s="119">
        <f>SUM(C144:C145)</f>
        <v>1063691.4400000002</v>
      </c>
      <c r="D143" s="119">
        <f t="shared" ref="D143:N143" si="59">SUM(D144:D145)</f>
        <v>1007002.78</v>
      </c>
      <c r="E143" s="120">
        <f t="shared" si="59"/>
        <v>1062450.8899999999</v>
      </c>
      <c r="F143" s="120">
        <f t="shared" si="59"/>
        <v>1056190.19</v>
      </c>
      <c r="G143" s="119">
        <f t="shared" si="59"/>
        <v>1227142.22</v>
      </c>
      <c r="H143" s="119">
        <f t="shared" si="59"/>
        <v>1197387.5999999999</v>
      </c>
      <c r="I143" s="119">
        <f t="shared" si="59"/>
        <v>1200392.96</v>
      </c>
      <c r="J143" s="119">
        <f t="shared" si="59"/>
        <v>1192228.79</v>
      </c>
      <c r="K143" s="119">
        <f t="shared" si="59"/>
        <v>1192669.18</v>
      </c>
      <c r="L143" s="119">
        <f t="shared" si="59"/>
        <v>1225813.8399999999</v>
      </c>
      <c r="M143" s="119">
        <f t="shared" si="59"/>
        <v>1234126.6700000002</v>
      </c>
      <c r="N143" s="118">
        <f t="shared" si="59"/>
        <v>1233361.28</v>
      </c>
    </row>
    <row r="144" spans="1:15" s="13" customFormat="1" ht="25.5" x14ac:dyDescent="0.2">
      <c r="A144" s="178"/>
      <c r="B144" s="91" t="s">
        <v>116</v>
      </c>
      <c r="C144" s="146">
        <v>850.58</v>
      </c>
      <c r="D144" s="146">
        <v>1150.1400000000001</v>
      </c>
      <c r="E144" s="99">
        <v>1178.98</v>
      </c>
      <c r="F144" s="99">
        <v>1377.28</v>
      </c>
      <c r="G144" s="147">
        <v>1386.94</v>
      </c>
      <c r="H144" s="146">
        <v>1354.18</v>
      </c>
      <c r="I144" s="146">
        <v>1251.6600000000001</v>
      </c>
      <c r="J144" s="146">
        <v>1551.11</v>
      </c>
      <c r="K144" s="146">
        <v>1608.71</v>
      </c>
      <c r="L144" s="146">
        <v>1250.6400000000001</v>
      </c>
      <c r="M144" s="146">
        <v>1067.3599999999999</v>
      </c>
      <c r="N144" s="158">
        <v>1060.92</v>
      </c>
    </row>
    <row r="145" spans="1:15" s="13" customFormat="1" ht="26.25" thickBot="1" x14ac:dyDescent="0.25">
      <c r="A145" s="178"/>
      <c r="B145" s="90" t="s">
        <v>117</v>
      </c>
      <c r="C145" s="101">
        <v>1062840.8600000001</v>
      </c>
      <c r="D145" s="101">
        <v>1005852.64</v>
      </c>
      <c r="E145" s="102">
        <v>1061271.9099999999</v>
      </c>
      <c r="F145" s="102">
        <v>1054812.9099999999</v>
      </c>
      <c r="G145" s="157">
        <v>1225755.28</v>
      </c>
      <c r="H145" s="101">
        <v>1196033.42</v>
      </c>
      <c r="I145" s="101">
        <v>1199141.3</v>
      </c>
      <c r="J145" s="101">
        <v>1190677.68</v>
      </c>
      <c r="K145" s="101">
        <v>1191060.47</v>
      </c>
      <c r="L145" s="101">
        <v>1224563.2</v>
      </c>
      <c r="M145" s="101">
        <v>1233059.31</v>
      </c>
      <c r="N145" s="148">
        <v>1232300.3600000001</v>
      </c>
    </row>
    <row r="146" spans="1:15" ht="15" customHeight="1" thickBot="1" x14ac:dyDescent="0.25">
      <c r="A146" s="36" t="s">
        <v>104</v>
      </c>
      <c r="B146" s="37" t="s">
        <v>66</v>
      </c>
      <c r="C146" s="20"/>
      <c r="D146" s="20"/>
      <c r="E146" s="21"/>
      <c r="F146" s="21"/>
      <c r="G146" s="66"/>
      <c r="H146" s="20"/>
      <c r="I146" s="20"/>
      <c r="J146" s="20"/>
      <c r="K146" s="20"/>
      <c r="L146" s="20"/>
      <c r="M146" s="20"/>
      <c r="N146" s="55"/>
      <c r="O146" s="13"/>
    </row>
    <row r="147" spans="1:15" ht="14.25" customHeight="1" x14ac:dyDescent="0.2">
      <c r="A147" s="85"/>
      <c r="B147" s="88" t="s">
        <v>61</v>
      </c>
      <c r="C147" s="159">
        <f>SUM(C148:C150)</f>
        <v>2413.5629999999996</v>
      </c>
      <c r="D147" s="159">
        <f t="shared" ref="D147:N147" si="60">SUM(D148:D150)</f>
        <v>2610.6429999999996</v>
      </c>
      <c r="E147" s="160">
        <f t="shared" si="60"/>
        <v>2619.3129999999996</v>
      </c>
      <c r="F147" s="160">
        <f t="shared" si="60"/>
        <v>2583.6429999999996</v>
      </c>
      <c r="G147" s="160">
        <f t="shared" si="60"/>
        <v>2561.4129999999996</v>
      </c>
      <c r="H147" s="160">
        <f t="shared" si="60"/>
        <v>2572.4429999999998</v>
      </c>
      <c r="I147" s="160">
        <f t="shared" si="60"/>
        <v>2828.1129999999998</v>
      </c>
      <c r="J147" s="160">
        <f t="shared" si="60"/>
        <v>2854.6729999999998</v>
      </c>
      <c r="K147" s="160">
        <f t="shared" si="60"/>
        <v>2803.4229999999998</v>
      </c>
      <c r="L147" s="160">
        <f t="shared" si="60"/>
        <v>2912.6735300365249</v>
      </c>
      <c r="M147" s="160">
        <f t="shared" si="60"/>
        <v>2965.553530036525</v>
      </c>
      <c r="N147" s="161">
        <f t="shared" si="60"/>
        <v>2916.6935300365249</v>
      </c>
      <c r="O147" s="13"/>
    </row>
    <row r="148" spans="1:15" ht="15" customHeight="1" x14ac:dyDescent="0.2">
      <c r="A148" s="25"/>
      <c r="B148" s="89" t="s">
        <v>113</v>
      </c>
      <c r="C148" s="101">
        <f t="shared" ref="C148:N148" si="61">C130</f>
        <v>2190.75</v>
      </c>
      <c r="D148" s="101">
        <f t="shared" si="61"/>
        <v>2387.83</v>
      </c>
      <c r="E148" s="102">
        <f t="shared" si="61"/>
        <v>2396.5</v>
      </c>
      <c r="F148" s="102">
        <f t="shared" si="61"/>
        <v>2360.83</v>
      </c>
      <c r="G148" s="157">
        <f t="shared" si="61"/>
        <v>2338.6</v>
      </c>
      <c r="H148" s="101">
        <f t="shared" si="61"/>
        <v>2349.63</v>
      </c>
      <c r="I148" s="101">
        <f t="shared" si="61"/>
        <v>2605.3000000000002</v>
      </c>
      <c r="J148" s="101">
        <f t="shared" si="61"/>
        <v>2631.86</v>
      </c>
      <c r="K148" s="101">
        <f t="shared" si="61"/>
        <v>2580.61</v>
      </c>
      <c r="L148" s="101">
        <f t="shared" si="61"/>
        <v>2625.93</v>
      </c>
      <c r="M148" s="101">
        <f t="shared" si="61"/>
        <v>2678.81</v>
      </c>
      <c r="N148" s="158">
        <f t="shared" si="61"/>
        <v>2629.95</v>
      </c>
      <c r="O148" s="13"/>
    </row>
    <row r="149" spans="1:15" ht="15" customHeight="1" x14ac:dyDescent="0.2">
      <c r="A149" s="40"/>
      <c r="B149" s="90" t="s">
        <v>9</v>
      </c>
      <c r="C149" s="114">
        <f t="shared" ref="C149:N149" si="62">C132</f>
        <v>217.45000000000002</v>
      </c>
      <c r="D149" s="114">
        <f t="shared" si="62"/>
        <v>217.45000000000002</v>
      </c>
      <c r="E149" s="115">
        <f t="shared" si="62"/>
        <v>217.45000000000002</v>
      </c>
      <c r="F149" s="115">
        <f t="shared" si="62"/>
        <v>217.45000000000002</v>
      </c>
      <c r="G149" s="121">
        <f t="shared" si="62"/>
        <v>217.45000000000002</v>
      </c>
      <c r="H149" s="115">
        <f t="shared" si="62"/>
        <v>217.45000000000002</v>
      </c>
      <c r="I149" s="115">
        <f t="shared" si="62"/>
        <v>217.45000000000002</v>
      </c>
      <c r="J149" s="115">
        <f t="shared" si="62"/>
        <v>217.45000000000002</v>
      </c>
      <c r="K149" s="115">
        <f t="shared" si="62"/>
        <v>217.45000000000002</v>
      </c>
      <c r="L149" s="115">
        <f t="shared" si="62"/>
        <v>280.62</v>
      </c>
      <c r="M149" s="115">
        <f t="shared" si="62"/>
        <v>280.62</v>
      </c>
      <c r="N149" s="122">
        <f t="shared" si="62"/>
        <v>280.62</v>
      </c>
      <c r="O149" s="13"/>
    </row>
    <row r="150" spans="1:15" s="13" customFormat="1" ht="15" customHeight="1" x14ac:dyDescent="0.2">
      <c r="A150" s="81"/>
      <c r="B150" s="91" t="s">
        <v>42</v>
      </c>
      <c r="C150" s="106">
        <f t="shared" ref="C150:N150" si="63">C133</f>
        <v>5.3629999999999995</v>
      </c>
      <c r="D150" s="106">
        <f t="shared" si="63"/>
        <v>5.3629999999999995</v>
      </c>
      <c r="E150" s="107">
        <f t="shared" si="63"/>
        <v>5.3629999999999995</v>
      </c>
      <c r="F150" s="107">
        <f t="shared" si="63"/>
        <v>5.3629999999999995</v>
      </c>
      <c r="G150" s="108">
        <f t="shared" si="63"/>
        <v>5.3629999999999995</v>
      </c>
      <c r="H150" s="106">
        <f t="shared" si="63"/>
        <v>5.3629999999999995</v>
      </c>
      <c r="I150" s="106">
        <f t="shared" si="63"/>
        <v>5.3629999999999995</v>
      </c>
      <c r="J150" s="106">
        <f t="shared" si="63"/>
        <v>5.3629999999999995</v>
      </c>
      <c r="K150" s="106">
        <f t="shared" si="63"/>
        <v>5.3629999999999995</v>
      </c>
      <c r="L150" s="106">
        <f t="shared" si="63"/>
        <v>6.1235300365250511</v>
      </c>
      <c r="M150" s="106">
        <f t="shared" si="63"/>
        <v>6.1235300365250511</v>
      </c>
      <c r="N150" s="109">
        <f t="shared" si="63"/>
        <v>6.1235300365250511</v>
      </c>
    </row>
    <row r="151" spans="1:15" s="13" customFormat="1" ht="25.5" x14ac:dyDescent="0.2">
      <c r="A151" s="82"/>
      <c r="B151" s="87" t="s">
        <v>118</v>
      </c>
      <c r="C151" s="119">
        <f>SUM(C152:C153)</f>
        <v>1063691.4400000002</v>
      </c>
      <c r="D151" s="119">
        <f t="shared" ref="D151:N151" si="64">SUM(D152:D153)</f>
        <v>1007002.78</v>
      </c>
      <c r="E151" s="120">
        <f t="shared" si="64"/>
        <v>1062450.8899999999</v>
      </c>
      <c r="F151" s="120">
        <f t="shared" si="64"/>
        <v>1056190.19</v>
      </c>
      <c r="G151" s="119">
        <f t="shared" si="64"/>
        <v>1227142.22</v>
      </c>
      <c r="H151" s="119">
        <f t="shared" si="64"/>
        <v>1197387.5999999999</v>
      </c>
      <c r="I151" s="119">
        <f t="shared" si="64"/>
        <v>1200392.96</v>
      </c>
      <c r="J151" s="119">
        <f t="shared" si="64"/>
        <v>1192228.79</v>
      </c>
      <c r="K151" s="119">
        <f t="shared" si="64"/>
        <v>1192669.18</v>
      </c>
      <c r="L151" s="119">
        <f t="shared" si="64"/>
        <v>1225813.8399999999</v>
      </c>
      <c r="M151" s="119">
        <f t="shared" si="64"/>
        <v>1234126.6700000002</v>
      </c>
      <c r="N151" s="118">
        <f t="shared" si="64"/>
        <v>1233361.28</v>
      </c>
    </row>
    <row r="152" spans="1:15" s="13" customFormat="1" ht="25.5" x14ac:dyDescent="0.2">
      <c r="A152" s="178"/>
      <c r="B152" s="91" t="s">
        <v>116</v>
      </c>
      <c r="C152" s="146">
        <v>850.58</v>
      </c>
      <c r="D152" s="146">
        <v>1150.1400000000001</v>
      </c>
      <c r="E152" s="99">
        <v>1178.98</v>
      </c>
      <c r="F152" s="99">
        <v>1377.28</v>
      </c>
      <c r="G152" s="147">
        <v>1386.94</v>
      </c>
      <c r="H152" s="146">
        <v>1354.18</v>
      </c>
      <c r="I152" s="146">
        <v>1251.6600000000001</v>
      </c>
      <c r="J152" s="146">
        <v>1551.11</v>
      </c>
      <c r="K152" s="146">
        <v>1608.71</v>
      </c>
      <c r="L152" s="146">
        <v>1250.6400000000001</v>
      </c>
      <c r="M152" s="146">
        <v>1067.3599999999999</v>
      </c>
      <c r="N152" s="158">
        <v>1060.92</v>
      </c>
    </row>
    <row r="153" spans="1:15" s="13" customFormat="1" ht="25.5" x14ac:dyDescent="0.2">
      <c r="A153" s="198"/>
      <c r="B153" s="90" t="s">
        <v>117</v>
      </c>
      <c r="C153" s="146">
        <v>1062840.8600000001</v>
      </c>
      <c r="D153" s="146">
        <v>1005852.64</v>
      </c>
      <c r="E153" s="99">
        <v>1061271.9099999999</v>
      </c>
      <c r="F153" s="99">
        <v>1054812.9099999999</v>
      </c>
      <c r="G153" s="147">
        <v>1225755.28</v>
      </c>
      <c r="H153" s="146">
        <v>1196033.42</v>
      </c>
      <c r="I153" s="146">
        <v>1199141.3</v>
      </c>
      <c r="J153" s="146">
        <v>1190677.68</v>
      </c>
      <c r="K153" s="146">
        <v>1191060.47</v>
      </c>
      <c r="L153" s="146">
        <v>1224563.2</v>
      </c>
      <c r="M153" s="146">
        <v>1233059.31</v>
      </c>
      <c r="N153" s="148">
        <v>1232300.3600000001</v>
      </c>
    </row>
    <row r="154" spans="1:15" ht="26.25" thickBot="1" x14ac:dyDescent="0.25">
      <c r="A154" s="41"/>
      <c r="B154" s="93" t="s">
        <v>65</v>
      </c>
      <c r="C154" s="129">
        <v>1697848.88</v>
      </c>
      <c r="D154" s="129">
        <v>1697848.88</v>
      </c>
      <c r="E154" s="130">
        <v>1697848.88</v>
      </c>
      <c r="F154" s="130">
        <v>1697848.88</v>
      </c>
      <c r="G154" s="133">
        <v>1697848.88</v>
      </c>
      <c r="H154" s="129">
        <v>1697848.88</v>
      </c>
      <c r="I154" s="129">
        <v>1697848.88</v>
      </c>
      <c r="J154" s="129">
        <v>1697848.88</v>
      </c>
      <c r="K154" s="129">
        <v>1697848.88</v>
      </c>
      <c r="L154" s="129">
        <v>2059490.69</v>
      </c>
      <c r="M154" s="129">
        <v>2059490.69</v>
      </c>
      <c r="N154" s="134">
        <v>2059490.69</v>
      </c>
      <c r="O154" s="13"/>
    </row>
    <row r="155" spans="1:15" ht="15" customHeight="1" x14ac:dyDescent="0.2"/>
    <row r="157" spans="1:15" ht="87" customHeight="1" x14ac:dyDescent="0.2">
      <c r="A157" s="200" t="s">
        <v>114</v>
      </c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69"/>
    </row>
    <row r="158" spans="1:15" ht="29.25" customHeight="1" x14ac:dyDescent="0.2">
      <c r="A158" s="199" t="s">
        <v>115</v>
      </c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</row>
    <row r="159" spans="1:15" ht="32.25" customHeight="1" x14ac:dyDescent="0.2"/>
    <row r="160" spans="1:15" ht="32.25" customHeight="1" x14ac:dyDescent="0.2"/>
  </sheetData>
  <mergeCells count="11">
    <mergeCell ref="D63:N63"/>
    <mergeCell ref="D95:N95"/>
    <mergeCell ref="D127:N127"/>
    <mergeCell ref="A157:N157"/>
    <mergeCell ref="A158:N158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7">
    <tabColor rgb="FFFFFF00"/>
  </sheetPr>
  <dimension ref="A1:O9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103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5" s="58" customFormat="1" ht="34.5" customHeight="1" x14ac:dyDescent="0.25">
      <c r="A7" s="206" t="s">
        <v>60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137"/>
      <c r="C8" s="137"/>
      <c r="D8" s="137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94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135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3.5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7" customFormat="1" ht="15.75" customHeight="1" x14ac:dyDescent="0.2">
      <c r="A13" s="80"/>
      <c r="B13" s="86" t="s">
        <v>61</v>
      </c>
      <c r="C13" s="155">
        <f>SUM(C14:C17)</f>
        <v>4295.5630000000001</v>
      </c>
      <c r="D13" s="155">
        <f t="shared" ref="D13:N13" si="0">SUM(D14:D17)</f>
        <v>4492.643</v>
      </c>
      <c r="E13" s="156">
        <f t="shared" si="0"/>
        <v>4501.3130000000001</v>
      </c>
      <c r="F13" s="156">
        <f t="shared" si="0"/>
        <v>4465.643</v>
      </c>
      <c r="G13" s="156">
        <f t="shared" si="0"/>
        <v>4443.4129999999996</v>
      </c>
      <c r="H13" s="156">
        <f t="shared" si="0"/>
        <v>4454.4430000000002</v>
      </c>
      <c r="I13" s="156">
        <f t="shared" si="0"/>
        <v>4710.1130000000003</v>
      </c>
      <c r="J13" s="156">
        <f t="shared" si="0"/>
        <v>4736.6729999999998</v>
      </c>
      <c r="K13" s="156">
        <f t="shared" si="0"/>
        <v>4685.4229999999998</v>
      </c>
      <c r="L13" s="156">
        <f t="shared" si="0"/>
        <v>4985.8935300365256</v>
      </c>
      <c r="M13" s="156">
        <f t="shared" si="0"/>
        <v>5038.7735300365248</v>
      </c>
      <c r="N13" s="156">
        <f t="shared" si="0"/>
        <v>4989.9135300365251</v>
      </c>
      <c r="O13" s="61"/>
    </row>
    <row r="14" spans="1:15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8</v>
      </c>
      <c r="C15" s="146">
        <v>1992.63</v>
      </c>
      <c r="D15" s="146">
        <v>1992.63</v>
      </c>
      <c r="E15" s="99">
        <v>1992.63</v>
      </c>
      <c r="F15" s="99">
        <v>1992.63</v>
      </c>
      <c r="G15" s="147">
        <v>1992.63</v>
      </c>
      <c r="H15" s="146">
        <v>1992.63</v>
      </c>
      <c r="I15" s="146">
        <v>1992.63</v>
      </c>
      <c r="J15" s="146">
        <v>1992.63</v>
      </c>
      <c r="K15" s="146">
        <v>1992.63</v>
      </c>
      <c r="L15" s="146">
        <v>2232.17</v>
      </c>
      <c r="M15" s="146">
        <v>2232.17</v>
      </c>
      <c r="N15" s="148">
        <v>2232.17</v>
      </c>
      <c r="O15" s="61"/>
    </row>
    <row r="16" spans="1:15" s="13" customFormat="1" ht="15" customHeight="1" x14ac:dyDescent="0.2">
      <c r="A16" s="29"/>
      <c r="B16" s="89" t="s">
        <v>9</v>
      </c>
      <c r="C16" s="114">
        <v>106.82</v>
      </c>
      <c r="D16" s="114">
        <v>106.82</v>
      </c>
      <c r="E16" s="115">
        <v>106.82</v>
      </c>
      <c r="F16" s="115">
        <v>106.82</v>
      </c>
      <c r="G16" s="116">
        <v>106.82</v>
      </c>
      <c r="H16" s="114">
        <v>106.82</v>
      </c>
      <c r="I16" s="114">
        <v>106.82</v>
      </c>
      <c r="J16" s="114">
        <v>106.82</v>
      </c>
      <c r="K16" s="114">
        <v>106.82</v>
      </c>
      <c r="L16" s="114">
        <v>121.67</v>
      </c>
      <c r="M16" s="114">
        <v>121.67</v>
      </c>
      <c r="N16" s="117">
        <v>121.67</v>
      </c>
      <c r="O16" s="61"/>
    </row>
    <row r="17" spans="1:15" s="13" customFormat="1" ht="15" customHeigh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82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9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18">
        <f t="shared" si="1"/>
        <v>1233361.28</v>
      </c>
      <c r="O18" s="61"/>
    </row>
    <row r="19" spans="1:15" s="13" customFormat="1" ht="25.5" x14ac:dyDescent="0.2">
      <c r="A19" s="178"/>
      <c r="B19" s="91" t="s">
        <v>116</v>
      </c>
      <c r="C19" s="146">
        <v>850.58</v>
      </c>
      <c r="D19" s="146">
        <v>1150.1400000000001</v>
      </c>
      <c r="E19" s="99">
        <v>1178.98</v>
      </c>
      <c r="F19" s="99">
        <v>1377.28</v>
      </c>
      <c r="G19" s="147">
        <v>1386.94</v>
      </c>
      <c r="H19" s="146">
        <v>1354.18</v>
      </c>
      <c r="I19" s="146">
        <v>1251.6600000000001</v>
      </c>
      <c r="J19" s="146">
        <v>1551.11</v>
      </c>
      <c r="K19" s="146">
        <v>1608.71</v>
      </c>
      <c r="L19" s="146">
        <v>1250.6400000000001</v>
      </c>
      <c r="M19" s="146">
        <v>1067.3599999999999</v>
      </c>
      <c r="N19" s="158">
        <v>1060.92</v>
      </c>
      <c r="O19" s="61"/>
    </row>
    <row r="20" spans="1:15" s="13" customFormat="1" ht="26.25" thickBot="1" x14ac:dyDescent="0.25">
      <c r="A20" s="178"/>
      <c r="B20" s="90" t="s">
        <v>117</v>
      </c>
      <c r="C20" s="101">
        <v>1062840.8600000001</v>
      </c>
      <c r="D20" s="101">
        <v>1005852.64</v>
      </c>
      <c r="E20" s="102">
        <v>1061271.9099999999</v>
      </c>
      <c r="F20" s="102">
        <v>1054812.9099999999</v>
      </c>
      <c r="G20" s="157">
        <v>1225755.28</v>
      </c>
      <c r="H20" s="101">
        <v>1196033.42</v>
      </c>
      <c r="I20" s="101">
        <v>1199141.3</v>
      </c>
      <c r="J20" s="101">
        <v>1190677.68</v>
      </c>
      <c r="K20" s="101">
        <v>1191060.47</v>
      </c>
      <c r="L20" s="101">
        <v>1224563.2</v>
      </c>
      <c r="M20" s="101">
        <v>1233059.31</v>
      </c>
      <c r="N20" s="148">
        <v>1232300.3600000001</v>
      </c>
      <c r="O20" s="61"/>
    </row>
    <row r="21" spans="1:15" s="13" customFormat="1" ht="26.25" thickBot="1" x14ac:dyDescent="0.25">
      <c r="A21" s="36" t="s">
        <v>10</v>
      </c>
      <c r="B21" s="37" t="s">
        <v>11</v>
      </c>
      <c r="C21" s="20"/>
      <c r="D21" s="20"/>
      <c r="E21" s="21"/>
      <c r="F21" s="21"/>
      <c r="G21" s="66"/>
      <c r="H21" s="20"/>
      <c r="I21" s="20"/>
      <c r="J21" s="20"/>
      <c r="K21" s="20"/>
      <c r="L21" s="20"/>
      <c r="M21" s="20"/>
      <c r="N21" s="55"/>
      <c r="O21" s="61"/>
    </row>
    <row r="22" spans="1:15" s="13" customFormat="1" ht="25.5" x14ac:dyDescent="0.2">
      <c r="A22" s="85"/>
      <c r="B22" s="88" t="s">
        <v>61</v>
      </c>
      <c r="C22" s="159">
        <f>SUM(C23:C25)</f>
        <v>2302.933</v>
      </c>
      <c r="D22" s="159">
        <f t="shared" ref="D22:N22" si="2">SUM(D23:D25)</f>
        <v>2500.0129999999999</v>
      </c>
      <c r="E22" s="160">
        <f t="shared" si="2"/>
        <v>2508.683</v>
      </c>
      <c r="F22" s="160">
        <f t="shared" si="2"/>
        <v>2473.0129999999999</v>
      </c>
      <c r="G22" s="160">
        <f t="shared" si="2"/>
        <v>2450.7829999999999</v>
      </c>
      <c r="H22" s="160">
        <f t="shared" si="2"/>
        <v>2461.8130000000001</v>
      </c>
      <c r="I22" s="160">
        <f t="shared" si="2"/>
        <v>2717.4830000000002</v>
      </c>
      <c r="J22" s="160">
        <f t="shared" si="2"/>
        <v>2744.0430000000001</v>
      </c>
      <c r="K22" s="160">
        <f t="shared" si="2"/>
        <v>2692.7930000000001</v>
      </c>
      <c r="L22" s="160">
        <f t="shared" si="2"/>
        <v>2753.7235300365251</v>
      </c>
      <c r="M22" s="160">
        <f t="shared" si="2"/>
        <v>2806.6035300365252</v>
      </c>
      <c r="N22" s="161">
        <f t="shared" si="2"/>
        <v>2757.743530036525</v>
      </c>
      <c r="O22" s="61"/>
    </row>
    <row r="23" spans="1:15" s="13" customFormat="1" x14ac:dyDescent="0.2">
      <c r="A23" s="25"/>
      <c r="B23" s="89" t="s">
        <v>113</v>
      </c>
      <c r="C23" s="101">
        <f t="shared" ref="C23:N23" si="3">C14</f>
        <v>2190.75</v>
      </c>
      <c r="D23" s="101">
        <f t="shared" si="3"/>
        <v>2387.83</v>
      </c>
      <c r="E23" s="102">
        <f t="shared" si="3"/>
        <v>2396.5</v>
      </c>
      <c r="F23" s="102">
        <f t="shared" si="3"/>
        <v>2360.83</v>
      </c>
      <c r="G23" s="157">
        <f t="shared" si="3"/>
        <v>2338.6</v>
      </c>
      <c r="H23" s="101">
        <f t="shared" si="3"/>
        <v>2349.63</v>
      </c>
      <c r="I23" s="101">
        <f t="shared" si="3"/>
        <v>2605.3000000000002</v>
      </c>
      <c r="J23" s="101">
        <f t="shared" si="3"/>
        <v>2631.86</v>
      </c>
      <c r="K23" s="101">
        <f t="shared" si="3"/>
        <v>2580.61</v>
      </c>
      <c r="L23" s="101">
        <f t="shared" si="3"/>
        <v>2625.93</v>
      </c>
      <c r="M23" s="101">
        <f t="shared" si="3"/>
        <v>2678.81</v>
      </c>
      <c r="N23" s="158">
        <f t="shared" si="3"/>
        <v>2629.95</v>
      </c>
    </row>
    <row r="24" spans="1:15" s="13" customFormat="1" x14ac:dyDescent="0.2">
      <c r="A24" s="40"/>
      <c r="B24" s="90" t="s">
        <v>9</v>
      </c>
      <c r="C24" s="114">
        <f t="shared" ref="C24:N24" si="4">C16</f>
        <v>106.82</v>
      </c>
      <c r="D24" s="114">
        <f t="shared" si="4"/>
        <v>106.82</v>
      </c>
      <c r="E24" s="115">
        <f t="shared" si="4"/>
        <v>106.82</v>
      </c>
      <c r="F24" s="115">
        <f t="shared" si="4"/>
        <v>106.82</v>
      </c>
      <c r="G24" s="121">
        <f t="shared" si="4"/>
        <v>106.82</v>
      </c>
      <c r="H24" s="115">
        <f t="shared" si="4"/>
        <v>106.82</v>
      </c>
      <c r="I24" s="115">
        <f t="shared" si="4"/>
        <v>106.82</v>
      </c>
      <c r="J24" s="115">
        <f t="shared" si="4"/>
        <v>106.82</v>
      </c>
      <c r="K24" s="115">
        <f t="shared" si="4"/>
        <v>106.82</v>
      </c>
      <c r="L24" s="115">
        <f t="shared" si="4"/>
        <v>121.67</v>
      </c>
      <c r="M24" s="115">
        <f t="shared" si="4"/>
        <v>121.67</v>
      </c>
      <c r="N24" s="122">
        <f t="shared" si="4"/>
        <v>121.67</v>
      </c>
    </row>
    <row r="25" spans="1:15" s="13" customFormat="1" x14ac:dyDescent="0.2">
      <c r="A25" s="81"/>
      <c r="B25" s="91" t="s">
        <v>42</v>
      </c>
      <c r="C25" s="106">
        <f t="shared" ref="C25:N25" si="5">C17</f>
        <v>5.3629999999999995</v>
      </c>
      <c r="D25" s="106">
        <f t="shared" si="5"/>
        <v>5.3629999999999995</v>
      </c>
      <c r="E25" s="107">
        <f t="shared" si="5"/>
        <v>5.3629999999999995</v>
      </c>
      <c r="F25" s="107">
        <f t="shared" si="5"/>
        <v>5.3629999999999995</v>
      </c>
      <c r="G25" s="108">
        <f t="shared" si="5"/>
        <v>5.3629999999999995</v>
      </c>
      <c r="H25" s="106">
        <f t="shared" si="5"/>
        <v>5.3629999999999995</v>
      </c>
      <c r="I25" s="106">
        <f t="shared" si="5"/>
        <v>5.3629999999999995</v>
      </c>
      <c r="J25" s="106">
        <f t="shared" si="5"/>
        <v>5.3629999999999995</v>
      </c>
      <c r="K25" s="106">
        <f t="shared" si="5"/>
        <v>5.3629999999999995</v>
      </c>
      <c r="L25" s="106">
        <f t="shared" si="5"/>
        <v>6.1235300365250511</v>
      </c>
      <c r="M25" s="106">
        <f t="shared" si="5"/>
        <v>6.1235300365250511</v>
      </c>
      <c r="N25" s="109">
        <f t="shared" si="5"/>
        <v>6.1235300365250511</v>
      </c>
    </row>
    <row r="26" spans="1:15" s="13" customFormat="1" ht="25.5" x14ac:dyDescent="0.2">
      <c r="A26" s="81"/>
      <c r="B26" s="87" t="s">
        <v>118</v>
      </c>
      <c r="C26" s="119">
        <f>SUM(C27:C28)</f>
        <v>1063691.4400000002</v>
      </c>
      <c r="D26" s="119">
        <f t="shared" ref="D26:N26" si="6">SUM(D27:D28)</f>
        <v>1007002.78</v>
      </c>
      <c r="E26" s="120">
        <f t="shared" si="6"/>
        <v>1062450.8899999999</v>
      </c>
      <c r="F26" s="120">
        <f t="shared" si="6"/>
        <v>1056190.19</v>
      </c>
      <c r="G26" s="119">
        <f t="shared" si="6"/>
        <v>1227142.22</v>
      </c>
      <c r="H26" s="119">
        <f t="shared" si="6"/>
        <v>1197387.5999999999</v>
      </c>
      <c r="I26" s="119">
        <f t="shared" si="6"/>
        <v>1200392.96</v>
      </c>
      <c r="J26" s="119">
        <f t="shared" si="6"/>
        <v>1192228.79</v>
      </c>
      <c r="K26" s="119">
        <f t="shared" si="6"/>
        <v>1192669.18</v>
      </c>
      <c r="L26" s="119">
        <f t="shared" si="6"/>
        <v>1225813.8399999999</v>
      </c>
      <c r="M26" s="119">
        <f t="shared" si="6"/>
        <v>1234126.6700000002</v>
      </c>
      <c r="N26" s="127">
        <f t="shared" si="6"/>
        <v>1233361.28</v>
      </c>
    </row>
    <row r="27" spans="1:15" s="13" customFormat="1" ht="25.5" x14ac:dyDescent="0.2">
      <c r="A27" s="81"/>
      <c r="B27" s="91" t="s">
        <v>116</v>
      </c>
      <c r="C27" s="146">
        <v>850.58</v>
      </c>
      <c r="D27" s="146">
        <v>1150.1400000000001</v>
      </c>
      <c r="E27" s="99">
        <v>1178.98</v>
      </c>
      <c r="F27" s="99">
        <v>1377.28</v>
      </c>
      <c r="G27" s="147">
        <v>1386.94</v>
      </c>
      <c r="H27" s="146">
        <v>1354.18</v>
      </c>
      <c r="I27" s="146">
        <v>1251.6600000000001</v>
      </c>
      <c r="J27" s="146">
        <v>1551.11</v>
      </c>
      <c r="K27" s="146">
        <v>1608.71</v>
      </c>
      <c r="L27" s="146">
        <v>1250.6400000000001</v>
      </c>
      <c r="M27" s="146">
        <v>1067.3599999999999</v>
      </c>
      <c r="N27" s="158">
        <v>1060.92</v>
      </c>
    </row>
    <row r="28" spans="1:15" s="13" customFormat="1" ht="26.25" thickBot="1" x14ac:dyDescent="0.25">
      <c r="A28" s="32"/>
      <c r="B28" s="186" t="s">
        <v>117</v>
      </c>
      <c r="C28" s="194">
        <v>1062840.8600000001</v>
      </c>
      <c r="D28" s="194">
        <v>1005852.64</v>
      </c>
      <c r="E28" s="173">
        <v>1061271.9099999999</v>
      </c>
      <c r="F28" s="173">
        <v>1054812.9099999999</v>
      </c>
      <c r="G28" s="195">
        <v>1225755.28</v>
      </c>
      <c r="H28" s="194">
        <v>1196033.42</v>
      </c>
      <c r="I28" s="194">
        <v>1199141.3</v>
      </c>
      <c r="J28" s="194">
        <v>1190677.68</v>
      </c>
      <c r="K28" s="194">
        <v>1191060.47</v>
      </c>
      <c r="L28" s="194">
        <v>1224563.2</v>
      </c>
      <c r="M28" s="194">
        <v>1233059.31</v>
      </c>
      <c r="N28" s="188">
        <v>1232300.3600000001</v>
      </c>
    </row>
    <row r="29" spans="1:15" ht="15" customHeight="1" x14ac:dyDescent="0.2"/>
    <row r="30" spans="1:15" ht="15" customHeight="1" x14ac:dyDescent="0.2"/>
    <row r="31" spans="1:15" s="59" customFormat="1" ht="21" customHeight="1" thickBot="1" x14ac:dyDescent="0.25">
      <c r="A31" s="7" t="s">
        <v>95</v>
      </c>
      <c r="B31" s="7"/>
      <c r="C31" s="7"/>
      <c r="D31" s="7"/>
      <c r="E31" s="7"/>
      <c r="F31" s="7"/>
      <c r="G31" s="5"/>
      <c r="H31" s="5"/>
      <c r="I31" s="5"/>
      <c r="J31" s="5"/>
      <c r="K31" s="5"/>
      <c r="L31" s="6"/>
      <c r="M31" s="6"/>
      <c r="N31" s="6"/>
    </row>
    <row r="32" spans="1:15" s="13" customFormat="1" ht="24" customHeight="1" thickBot="1" x14ac:dyDescent="0.25">
      <c r="A32" s="49" t="s">
        <v>0</v>
      </c>
      <c r="B32" s="50" t="s">
        <v>1</v>
      </c>
      <c r="C32" s="51" t="s">
        <v>17</v>
      </c>
      <c r="D32" s="51" t="s">
        <v>18</v>
      </c>
      <c r="E32" s="51" t="s">
        <v>19</v>
      </c>
      <c r="F32" s="51" t="s">
        <v>20</v>
      </c>
      <c r="G32" s="51" t="s">
        <v>21</v>
      </c>
      <c r="H32" s="51" t="s">
        <v>22</v>
      </c>
      <c r="I32" s="51" t="s">
        <v>23</v>
      </c>
      <c r="J32" s="51" t="s">
        <v>24</v>
      </c>
      <c r="K32" s="51" t="s">
        <v>25</v>
      </c>
      <c r="L32" s="51" t="s">
        <v>26</v>
      </c>
      <c r="M32" s="51" t="s">
        <v>27</v>
      </c>
      <c r="N32" s="52" t="s">
        <v>28</v>
      </c>
    </row>
    <row r="33" spans="1:15" s="17" customFormat="1" ht="21" customHeight="1" thickBot="1" x14ac:dyDescent="0.25">
      <c r="A33" s="14" t="s">
        <v>14</v>
      </c>
      <c r="B33" s="15" t="s">
        <v>5</v>
      </c>
      <c r="C33" s="135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2"/>
      <c r="O33" s="44"/>
    </row>
    <row r="34" spans="1:15" s="17" customFormat="1" ht="13.5" thickBot="1" x14ac:dyDescent="0.25">
      <c r="A34" s="18" t="s">
        <v>15</v>
      </c>
      <c r="B34" s="78" t="s">
        <v>7</v>
      </c>
      <c r="C34" s="20"/>
      <c r="D34" s="20"/>
      <c r="E34" s="21"/>
      <c r="F34" s="21"/>
      <c r="G34" s="63"/>
      <c r="H34" s="21"/>
      <c r="I34" s="21"/>
      <c r="J34" s="21"/>
      <c r="K34" s="21"/>
      <c r="L34" s="21"/>
      <c r="M34" s="21"/>
      <c r="N34" s="22"/>
      <c r="O34" s="61"/>
    </row>
    <row r="35" spans="1:15" s="13" customFormat="1" ht="15" customHeight="1" x14ac:dyDescent="0.2">
      <c r="A35" s="80"/>
      <c r="B35" s="86" t="s">
        <v>61</v>
      </c>
      <c r="C35" s="155">
        <f>SUM(C36:C39)</f>
        <v>5078.5430000000006</v>
      </c>
      <c r="D35" s="155">
        <f t="shared" ref="D35:N35" si="7">SUM(D36:D39)</f>
        <v>5275.6230000000005</v>
      </c>
      <c r="E35" s="156">
        <f t="shared" si="7"/>
        <v>5284.2930000000006</v>
      </c>
      <c r="F35" s="156">
        <f t="shared" si="7"/>
        <v>5248.6230000000005</v>
      </c>
      <c r="G35" s="156">
        <f t="shared" si="7"/>
        <v>5226.393</v>
      </c>
      <c r="H35" s="156">
        <f t="shared" si="7"/>
        <v>5237.4229999999998</v>
      </c>
      <c r="I35" s="156">
        <f t="shared" si="7"/>
        <v>5493.0929999999998</v>
      </c>
      <c r="J35" s="156">
        <f t="shared" si="7"/>
        <v>5519.6530000000002</v>
      </c>
      <c r="K35" s="156">
        <f t="shared" si="7"/>
        <v>5468.4030000000002</v>
      </c>
      <c r="L35" s="156">
        <f t="shared" si="7"/>
        <v>6095.5535300365254</v>
      </c>
      <c r="M35" s="156">
        <f t="shared" si="7"/>
        <v>6148.4335300365246</v>
      </c>
      <c r="N35" s="156">
        <f t="shared" si="7"/>
        <v>6099.573530036525</v>
      </c>
      <c r="O35" s="61"/>
    </row>
    <row r="36" spans="1:15" s="13" customFormat="1" ht="15" customHeight="1" x14ac:dyDescent="0.2">
      <c r="A36" s="29"/>
      <c r="B36" s="89" t="s">
        <v>113</v>
      </c>
      <c r="C36" s="101">
        <v>2190.75</v>
      </c>
      <c r="D36" s="101">
        <v>2387.83</v>
      </c>
      <c r="E36" s="102">
        <v>2396.5</v>
      </c>
      <c r="F36" s="102">
        <v>2360.83</v>
      </c>
      <c r="G36" s="157">
        <v>2338.6</v>
      </c>
      <c r="H36" s="101">
        <v>2349.63</v>
      </c>
      <c r="I36" s="101">
        <v>2605.3000000000002</v>
      </c>
      <c r="J36" s="101">
        <v>2631.86</v>
      </c>
      <c r="K36" s="101">
        <v>2580.61</v>
      </c>
      <c r="L36" s="101">
        <v>2625.93</v>
      </c>
      <c r="M36" s="101">
        <v>2678.81</v>
      </c>
      <c r="N36" s="158">
        <v>2629.95</v>
      </c>
      <c r="O36" s="61"/>
    </row>
    <row r="37" spans="1:15" s="13" customFormat="1" ht="15" customHeight="1" x14ac:dyDescent="0.2">
      <c r="A37" s="25"/>
      <c r="B37" s="90" t="s">
        <v>8</v>
      </c>
      <c r="C37" s="146">
        <v>2775.61</v>
      </c>
      <c r="D37" s="146">
        <v>2775.61</v>
      </c>
      <c r="E37" s="99">
        <v>2775.61</v>
      </c>
      <c r="F37" s="99">
        <v>2775.61</v>
      </c>
      <c r="G37" s="147">
        <v>2775.61</v>
      </c>
      <c r="H37" s="146">
        <v>2775.61</v>
      </c>
      <c r="I37" s="146">
        <v>2775.61</v>
      </c>
      <c r="J37" s="146">
        <v>2775.61</v>
      </c>
      <c r="K37" s="146">
        <v>2775.61</v>
      </c>
      <c r="L37" s="146">
        <v>3341.83</v>
      </c>
      <c r="M37" s="146">
        <v>3341.83</v>
      </c>
      <c r="N37" s="148">
        <v>3341.83</v>
      </c>
      <c r="O37" s="61"/>
    </row>
    <row r="38" spans="1:15" s="13" customFormat="1" ht="15" customHeight="1" x14ac:dyDescent="0.2">
      <c r="A38" s="29"/>
      <c r="B38" s="89" t="s">
        <v>9</v>
      </c>
      <c r="C38" s="114">
        <v>106.82</v>
      </c>
      <c r="D38" s="114">
        <v>106.82</v>
      </c>
      <c r="E38" s="115">
        <v>106.82</v>
      </c>
      <c r="F38" s="115">
        <v>106.82</v>
      </c>
      <c r="G38" s="116">
        <v>106.82</v>
      </c>
      <c r="H38" s="114">
        <v>106.82</v>
      </c>
      <c r="I38" s="114">
        <v>106.82</v>
      </c>
      <c r="J38" s="114">
        <v>106.82</v>
      </c>
      <c r="K38" s="114">
        <v>106.82</v>
      </c>
      <c r="L38" s="114">
        <v>121.67</v>
      </c>
      <c r="M38" s="114">
        <v>121.67</v>
      </c>
      <c r="N38" s="117">
        <v>121.67</v>
      </c>
      <c r="O38" s="61"/>
    </row>
    <row r="39" spans="1:15" s="13" customFormat="1" x14ac:dyDescent="0.2">
      <c r="A39" s="81"/>
      <c r="B39" s="91" t="s">
        <v>42</v>
      </c>
      <c r="C39" s="106">
        <v>5.3629999999999995</v>
      </c>
      <c r="D39" s="106">
        <v>5.3629999999999995</v>
      </c>
      <c r="E39" s="107">
        <v>5.3629999999999995</v>
      </c>
      <c r="F39" s="107">
        <v>5.3629999999999995</v>
      </c>
      <c r="G39" s="108">
        <v>5.3629999999999995</v>
      </c>
      <c r="H39" s="106">
        <v>5.3629999999999995</v>
      </c>
      <c r="I39" s="106">
        <v>5.3629999999999995</v>
      </c>
      <c r="J39" s="106">
        <v>5.3629999999999995</v>
      </c>
      <c r="K39" s="106">
        <v>5.3629999999999995</v>
      </c>
      <c r="L39" s="106">
        <v>6.1235300365250511</v>
      </c>
      <c r="M39" s="106">
        <v>6.1235300365250511</v>
      </c>
      <c r="N39" s="109">
        <v>6.1235300365250511</v>
      </c>
      <c r="O39" s="61"/>
    </row>
    <row r="40" spans="1:15" s="13" customFormat="1" ht="25.5" x14ac:dyDescent="0.2">
      <c r="A40" s="82"/>
      <c r="B40" s="87" t="s">
        <v>118</v>
      </c>
      <c r="C40" s="119">
        <f>SUM(C41:C42)</f>
        <v>1063691.4400000002</v>
      </c>
      <c r="D40" s="119">
        <f t="shared" ref="D40:N40" si="8">SUM(D41:D42)</f>
        <v>1007002.78</v>
      </c>
      <c r="E40" s="120">
        <f t="shared" si="8"/>
        <v>1062450.8899999999</v>
      </c>
      <c r="F40" s="120">
        <f t="shared" si="8"/>
        <v>1056190.19</v>
      </c>
      <c r="G40" s="119">
        <f t="shared" si="8"/>
        <v>1227142.22</v>
      </c>
      <c r="H40" s="119">
        <f t="shared" si="8"/>
        <v>1197387.5999999999</v>
      </c>
      <c r="I40" s="119">
        <f t="shared" si="8"/>
        <v>1200392.96</v>
      </c>
      <c r="J40" s="119">
        <f t="shared" si="8"/>
        <v>1192228.79</v>
      </c>
      <c r="K40" s="119">
        <f t="shared" si="8"/>
        <v>1192669.18</v>
      </c>
      <c r="L40" s="119">
        <f t="shared" si="8"/>
        <v>1225813.8399999999</v>
      </c>
      <c r="M40" s="119">
        <f t="shared" si="8"/>
        <v>1234126.6700000002</v>
      </c>
      <c r="N40" s="118">
        <f t="shared" si="8"/>
        <v>1233361.28</v>
      </c>
      <c r="O40" s="61"/>
    </row>
    <row r="41" spans="1:15" s="13" customFormat="1" ht="25.5" x14ac:dyDescent="0.2">
      <c r="A41" s="178"/>
      <c r="B41" s="91" t="s">
        <v>116</v>
      </c>
      <c r="C41" s="146">
        <v>850.58</v>
      </c>
      <c r="D41" s="146">
        <v>1150.1400000000001</v>
      </c>
      <c r="E41" s="99">
        <v>1178.98</v>
      </c>
      <c r="F41" s="99">
        <v>1377.28</v>
      </c>
      <c r="G41" s="147">
        <v>1386.94</v>
      </c>
      <c r="H41" s="146">
        <v>1354.18</v>
      </c>
      <c r="I41" s="146">
        <v>1251.6600000000001</v>
      </c>
      <c r="J41" s="146">
        <v>1551.11</v>
      </c>
      <c r="K41" s="146">
        <v>1608.71</v>
      </c>
      <c r="L41" s="146">
        <v>1250.6400000000001</v>
      </c>
      <c r="M41" s="146">
        <v>1067.3599999999999</v>
      </c>
      <c r="N41" s="158">
        <v>1060.92</v>
      </c>
      <c r="O41" s="61"/>
    </row>
    <row r="42" spans="1:15" s="13" customFormat="1" ht="26.25" thickBot="1" x14ac:dyDescent="0.25">
      <c r="A42" s="178"/>
      <c r="B42" s="90" t="s">
        <v>117</v>
      </c>
      <c r="C42" s="101">
        <v>1062840.8600000001</v>
      </c>
      <c r="D42" s="101">
        <v>1005852.64</v>
      </c>
      <c r="E42" s="102">
        <v>1061271.9099999999</v>
      </c>
      <c r="F42" s="102">
        <v>1054812.9099999999</v>
      </c>
      <c r="G42" s="157">
        <v>1225755.28</v>
      </c>
      <c r="H42" s="101">
        <v>1196033.42</v>
      </c>
      <c r="I42" s="101">
        <v>1199141.3</v>
      </c>
      <c r="J42" s="101">
        <v>1190677.68</v>
      </c>
      <c r="K42" s="101">
        <v>1191060.47</v>
      </c>
      <c r="L42" s="101">
        <v>1224563.2</v>
      </c>
      <c r="M42" s="101">
        <v>1233059.31</v>
      </c>
      <c r="N42" s="148">
        <v>1232300.3600000001</v>
      </c>
    </row>
    <row r="43" spans="1:15" s="13" customFormat="1" ht="26.25" thickBot="1" x14ac:dyDescent="0.25">
      <c r="A43" s="36" t="s">
        <v>16</v>
      </c>
      <c r="B43" s="37" t="s">
        <v>11</v>
      </c>
      <c r="C43" s="20"/>
      <c r="D43" s="20"/>
      <c r="E43" s="21"/>
      <c r="F43" s="21"/>
      <c r="G43" s="66"/>
      <c r="H43" s="20"/>
      <c r="I43" s="20"/>
      <c r="J43" s="20"/>
      <c r="K43" s="20"/>
      <c r="L43" s="20"/>
      <c r="M43" s="20"/>
      <c r="N43" s="55"/>
    </row>
    <row r="44" spans="1:15" s="13" customFormat="1" ht="25.5" x14ac:dyDescent="0.2">
      <c r="A44" s="85"/>
      <c r="B44" s="88" t="s">
        <v>61</v>
      </c>
      <c r="C44" s="159">
        <f>SUM(C45:C47)</f>
        <v>2302.933</v>
      </c>
      <c r="D44" s="159">
        <f t="shared" ref="D44:N44" si="9">SUM(D45:D47)</f>
        <v>2500.0129999999999</v>
      </c>
      <c r="E44" s="160">
        <f t="shared" si="9"/>
        <v>2508.683</v>
      </c>
      <c r="F44" s="160">
        <f t="shared" si="9"/>
        <v>2473.0129999999999</v>
      </c>
      <c r="G44" s="160">
        <f t="shared" si="9"/>
        <v>2450.7829999999999</v>
      </c>
      <c r="H44" s="160">
        <f t="shared" si="9"/>
        <v>2461.8130000000001</v>
      </c>
      <c r="I44" s="160">
        <f t="shared" si="9"/>
        <v>2717.4830000000002</v>
      </c>
      <c r="J44" s="160">
        <f t="shared" si="9"/>
        <v>2744.0430000000001</v>
      </c>
      <c r="K44" s="160">
        <f t="shared" si="9"/>
        <v>2692.7930000000001</v>
      </c>
      <c r="L44" s="160">
        <f t="shared" si="9"/>
        <v>2753.7235300365251</v>
      </c>
      <c r="M44" s="160">
        <f t="shared" si="9"/>
        <v>2806.6035300365252</v>
      </c>
      <c r="N44" s="161">
        <f t="shared" si="9"/>
        <v>2757.743530036525</v>
      </c>
    </row>
    <row r="45" spans="1:15" s="13" customFormat="1" x14ac:dyDescent="0.2">
      <c r="A45" s="25"/>
      <c r="B45" s="89" t="s">
        <v>113</v>
      </c>
      <c r="C45" s="101">
        <f t="shared" ref="C45:N45" si="10">C36</f>
        <v>2190.75</v>
      </c>
      <c r="D45" s="101">
        <f t="shared" si="10"/>
        <v>2387.83</v>
      </c>
      <c r="E45" s="102">
        <f t="shared" si="10"/>
        <v>2396.5</v>
      </c>
      <c r="F45" s="102">
        <f t="shared" si="10"/>
        <v>2360.83</v>
      </c>
      <c r="G45" s="157">
        <f t="shared" si="10"/>
        <v>2338.6</v>
      </c>
      <c r="H45" s="101">
        <f t="shared" si="10"/>
        <v>2349.63</v>
      </c>
      <c r="I45" s="101">
        <f t="shared" si="10"/>
        <v>2605.3000000000002</v>
      </c>
      <c r="J45" s="101">
        <f t="shared" si="10"/>
        <v>2631.86</v>
      </c>
      <c r="K45" s="101">
        <f t="shared" si="10"/>
        <v>2580.61</v>
      </c>
      <c r="L45" s="101">
        <f t="shared" si="10"/>
        <v>2625.93</v>
      </c>
      <c r="M45" s="101">
        <f t="shared" si="10"/>
        <v>2678.81</v>
      </c>
      <c r="N45" s="158">
        <f t="shared" si="10"/>
        <v>2629.95</v>
      </c>
    </row>
    <row r="46" spans="1:15" s="13" customFormat="1" x14ac:dyDescent="0.2">
      <c r="A46" s="40"/>
      <c r="B46" s="90" t="s">
        <v>9</v>
      </c>
      <c r="C46" s="27">
        <v>106.82</v>
      </c>
      <c r="D46" s="27">
        <f t="shared" ref="D46:N46" si="11">D38</f>
        <v>106.82</v>
      </c>
      <c r="E46" s="28">
        <f t="shared" si="11"/>
        <v>106.82</v>
      </c>
      <c r="F46" s="28">
        <f t="shared" si="11"/>
        <v>106.82</v>
      </c>
      <c r="G46" s="67">
        <f t="shared" si="11"/>
        <v>106.82</v>
      </c>
      <c r="H46" s="28">
        <f t="shared" si="11"/>
        <v>106.82</v>
      </c>
      <c r="I46" s="28">
        <f t="shared" si="11"/>
        <v>106.82</v>
      </c>
      <c r="J46" s="28">
        <f t="shared" si="11"/>
        <v>106.82</v>
      </c>
      <c r="K46" s="28">
        <f t="shared" si="11"/>
        <v>106.82</v>
      </c>
      <c r="L46" s="28">
        <f t="shared" si="11"/>
        <v>121.67</v>
      </c>
      <c r="M46" s="28">
        <f t="shared" si="11"/>
        <v>121.67</v>
      </c>
      <c r="N46" s="31">
        <f t="shared" si="11"/>
        <v>121.67</v>
      </c>
    </row>
    <row r="47" spans="1:15" s="13" customFormat="1" x14ac:dyDescent="0.2">
      <c r="A47" s="81"/>
      <c r="B47" s="91" t="s">
        <v>42</v>
      </c>
      <c r="C47" s="34">
        <f>C39</f>
        <v>5.3629999999999995</v>
      </c>
      <c r="D47" s="34">
        <f t="shared" ref="D47:N47" si="12">D39</f>
        <v>5.3629999999999995</v>
      </c>
      <c r="E47" s="35">
        <f t="shared" si="12"/>
        <v>5.3629999999999995</v>
      </c>
      <c r="F47" s="35">
        <f t="shared" si="12"/>
        <v>5.3629999999999995</v>
      </c>
      <c r="G47" s="65">
        <f t="shared" si="12"/>
        <v>5.3629999999999995</v>
      </c>
      <c r="H47" s="34">
        <f t="shared" si="12"/>
        <v>5.3629999999999995</v>
      </c>
      <c r="I47" s="34">
        <f t="shared" si="12"/>
        <v>5.3629999999999995</v>
      </c>
      <c r="J47" s="34">
        <f t="shared" si="12"/>
        <v>5.3629999999999995</v>
      </c>
      <c r="K47" s="34">
        <f t="shared" si="12"/>
        <v>5.3629999999999995</v>
      </c>
      <c r="L47" s="34">
        <f t="shared" si="12"/>
        <v>6.1235300365250511</v>
      </c>
      <c r="M47" s="34">
        <f t="shared" si="12"/>
        <v>6.1235300365250511</v>
      </c>
      <c r="N47" s="54">
        <f t="shared" si="12"/>
        <v>6.1235300365250511</v>
      </c>
    </row>
    <row r="48" spans="1:15" s="13" customFormat="1" ht="25.5" x14ac:dyDescent="0.2">
      <c r="A48" s="81"/>
      <c r="B48" s="87" t="s">
        <v>118</v>
      </c>
      <c r="C48" s="119">
        <f>SUM(C49:C50)</f>
        <v>1063691.4400000002</v>
      </c>
      <c r="D48" s="119">
        <f t="shared" ref="D48:N48" si="13">SUM(D49:D50)</f>
        <v>1007002.78</v>
      </c>
      <c r="E48" s="120">
        <f t="shared" si="13"/>
        <v>1062450.8899999999</v>
      </c>
      <c r="F48" s="120">
        <f t="shared" si="13"/>
        <v>1056190.19</v>
      </c>
      <c r="G48" s="119">
        <f t="shared" si="13"/>
        <v>1227142.22</v>
      </c>
      <c r="H48" s="119">
        <f t="shared" si="13"/>
        <v>1197387.5999999999</v>
      </c>
      <c r="I48" s="119">
        <f t="shared" si="13"/>
        <v>1200392.96</v>
      </c>
      <c r="J48" s="119">
        <f t="shared" si="13"/>
        <v>1192228.79</v>
      </c>
      <c r="K48" s="119">
        <f t="shared" si="13"/>
        <v>1192669.18</v>
      </c>
      <c r="L48" s="119">
        <f t="shared" si="13"/>
        <v>1225813.8399999999</v>
      </c>
      <c r="M48" s="119">
        <f t="shared" si="13"/>
        <v>1234126.6700000002</v>
      </c>
      <c r="N48" s="127">
        <f t="shared" si="13"/>
        <v>1233361.28</v>
      </c>
    </row>
    <row r="49" spans="1:15" s="13" customFormat="1" ht="25.5" x14ac:dyDescent="0.2">
      <c r="A49" s="81"/>
      <c r="B49" s="91" t="s">
        <v>116</v>
      </c>
      <c r="C49" s="146">
        <v>850.58</v>
      </c>
      <c r="D49" s="146">
        <v>1150.1400000000001</v>
      </c>
      <c r="E49" s="99">
        <v>1178.98</v>
      </c>
      <c r="F49" s="99">
        <v>1377.28</v>
      </c>
      <c r="G49" s="147">
        <v>1386.94</v>
      </c>
      <c r="H49" s="146">
        <v>1354.18</v>
      </c>
      <c r="I49" s="146">
        <v>1251.6600000000001</v>
      </c>
      <c r="J49" s="146">
        <v>1551.11</v>
      </c>
      <c r="K49" s="146">
        <v>1608.71</v>
      </c>
      <c r="L49" s="146">
        <v>1250.6400000000001</v>
      </c>
      <c r="M49" s="146">
        <v>1067.3599999999999</v>
      </c>
      <c r="N49" s="158">
        <v>1060.92</v>
      </c>
    </row>
    <row r="50" spans="1:15" s="13" customFormat="1" ht="26.25" thickBot="1" x14ac:dyDescent="0.25">
      <c r="A50" s="32"/>
      <c r="B50" s="186" t="s">
        <v>117</v>
      </c>
      <c r="C50" s="194">
        <v>1062840.8600000001</v>
      </c>
      <c r="D50" s="194">
        <v>1005852.64</v>
      </c>
      <c r="E50" s="173">
        <v>1061271.9099999999</v>
      </c>
      <c r="F50" s="173">
        <v>1054812.9099999999</v>
      </c>
      <c r="G50" s="195">
        <v>1225755.28</v>
      </c>
      <c r="H50" s="194">
        <v>1196033.42</v>
      </c>
      <c r="I50" s="194">
        <v>1199141.3</v>
      </c>
      <c r="J50" s="194">
        <v>1190677.68</v>
      </c>
      <c r="K50" s="194">
        <v>1191060.47</v>
      </c>
      <c r="L50" s="194">
        <v>1224563.2</v>
      </c>
      <c r="M50" s="194">
        <v>1233059.31</v>
      </c>
      <c r="N50" s="188">
        <v>1232300.3600000001</v>
      </c>
    </row>
    <row r="51" spans="1:15" ht="15" customHeight="1" x14ac:dyDescent="0.2"/>
    <row r="52" spans="1:15" ht="15" customHeight="1" x14ac:dyDescent="0.2"/>
    <row r="53" spans="1:15" s="59" customFormat="1" ht="21" customHeight="1" thickBot="1" x14ac:dyDescent="0.25">
      <c r="A53" s="7" t="s">
        <v>96</v>
      </c>
      <c r="B53" s="7"/>
      <c r="C53" s="7"/>
      <c r="D53" s="7"/>
      <c r="E53" s="7"/>
      <c r="F53" s="7"/>
      <c r="G53" s="5"/>
      <c r="H53" s="5"/>
      <c r="I53" s="5"/>
      <c r="J53" s="5"/>
      <c r="K53" s="5"/>
      <c r="L53" s="6"/>
      <c r="M53" s="6"/>
      <c r="N53" s="6"/>
    </row>
    <row r="54" spans="1:15" s="13" customFormat="1" ht="24" customHeight="1" thickBot="1" x14ac:dyDescent="0.25">
      <c r="A54" s="49" t="s">
        <v>0</v>
      </c>
      <c r="B54" s="50" t="s">
        <v>1</v>
      </c>
      <c r="C54" s="51" t="s">
        <v>17</v>
      </c>
      <c r="D54" s="51" t="s">
        <v>18</v>
      </c>
      <c r="E54" s="51" t="s">
        <v>19</v>
      </c>
      <c r="F54" s="51" t="s">
        <v>20</v>
      </c>
      <c r="G54" s="51" t="s">
        <v>21</v>
      </c>
      <c r="H54" s="51" t="s">
        <v>22</v>
      </c>
      <c r="I54" s="51" t="s">
        <v>23</v>
      </c>
      <c r="J54" s="51" t="s">
        <v>24</v>
      </c>
      <c r="K54" s="51" t="s">
        <v>25</v>
      </c>
      <c r="L54" s="51" t="s">
        <v>26</v>
      </c>
      <c r="M54" s="51" t="s">
        <v>27</v>
      </c>
      <c r="N54" s="52" t="s">
        <v>28</v>
      </c>
    </row>
    <row r="55" spans="1:15" s="17" customFormat="1" ht="21" customHeight="1" thickBot="1" x14ac:dyDescent="0.25">
      <c r="A55" s="14" t="s">
        <v>31</v>
      </c>
      <c r="B55" s="15" t="s">
        <v>5</v>
      </c>
      <c r="C55" s="135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2"/>
      <c r="O55" s="44"/>
    </row>
    <row r="56" spans="1:15" s="17" customFormat="1" ht="14.25" customHeight="1" thickBot="1" x14ac:dyDescent="0.25">
      <c r="A56" s="18" t="s">
        <v>32</v>
      </c>
      <c r="B56" s="78" t="s">
        <v>7</v>
      </c>
      <c r="C56" s="20"/>
      <c r="D56" s="20"/>
      <c r="E56" s="21"/>
      <c r="F56" s="21"/>
      <c r="G56" s="63"/>
      <c r="H56" s="21"/>
      <c r="I56" s="21"/>
      <c r="J56" s="21"/>
      <c r="K56" s="21"/>
      <c r="L56" s="21"/>
      <c r="M56" s="21"/>
      <c r="N56" s="22"/>
      <c r="O56" s="61"/>
    </row>
    <row r="57" spans="1:15" s="13" customFormat="1" ht="14.25" customHeight="1" x14ac:dyDescent="0.2">
      <c r="A57" s="80"/>
      <c r="B57" s="86" t="s">
        <v>61</v>
      </c>
      <c r="C57" s="155">
        <f>SUM(C58:C61)</f>
        <v>5608.2529999999997</v>
      </c>
      <c r="D57" s="155">
        <f t="shared" ref="D57:N57" si="14">SUM(D58:D61)</f>
        <v>5805.3329999999996</v>
      </c>
      <c r="E57" s="156">
        <f t="shared" si="14"/>
        <v>5814.0029999999997</v>
      </c>
      <c r="F57" s="156">
        <f t="shared" si="14"/>
        <v>5778.3329999999996</v>
      </c>
      <c r="G57" s="156">
        <f t="shared" si="14"/>
        <v>5756.1030000000001</v>
      </c>
      <c r="H57" s="156">
        <f t="shared" si="14"/>
        <v>5767.1330000000007</v>
      </c>
      <c r="I57" s="156">
        <f t="shared" si="14"/>
        <v>6022.8030000000008</v>
      </c>
      <c r="J57" s="156">
        <f t="shared" si="14"/>
        <v>6049.3630000000003</v>
      </c>
      <c r="K57" s="156">
        <f t="shared" si="14"/>
        <v>5998.1130000000003</v>
      </c>
      <c r="L57" s="156">
        <f t="shared" si="14"/>
        <v>6736.6335300365254</v>
      </c>
      <c r="M57" s="156">
        <f t="shared" si="14"/>
        <v>6789.5135300365246</v>
      </c>
      <c r="N57" s="156">
        <f t="shared" si="14"/>
        <v>6740.6535300365249</v>
      </c>
      <c r="O57" s="61"/>
    </row>
    <row r="58" spans="1:15" s="13" customFormat="1" ht="15" customHeight="1" x14ac:dyDescent="0.2">
      <c r="A58" s="29"/>
      <c r="B58" s="89" t="s">
        <v>113</v>
      </c>
      <c r="C58" s="101">
        <v>2190.75</v>
      </c>
      <c r="D58" s="101">
        <v>2387.83</v>
      </c>
      <c r="E58" s="102">
        <v>2396.5</v>
      </c>
      <c r="F58" s="102">
        <v>2360.83</v>
      </c>
      <c r="G58" s="157">
        <v>2338.6</v>
      </c>
      <c r="H58" s="101">
        <v>2349.63</v>
      </c>
      <c r="I58" s="101">
        <v>2605.3000000000002</v>
      </c>
      <c r="J58" s="101">
        <v>2631.86</v>
      </c>
      <c r="K58" s="101">
        <v>2580.61</v>
      </c>
      <c r="L58" s="101">
        <v>2625.93</v>
      </c>
      <c r="M58" s="101">
        <v>2678.81</v>
      </c>
      <c r="N58" s="158">
        <v>2629.95</v>
      </c>
      <c r="O58" s="61"/>
    </row>
    <row r="59" spans="1:15" s="13" customFormat="1" ht="15" customHeight="1" x14ac:dyDescent="0.2">
      <c r="A59" s="25"/>
      <c r="B59" s="90" t="s">
        <v>8</v>
      </c>
      <c r="C59" s="146">
        <v>3305.32</v>
      </c>
      <c r="D59" s="146">
        <v>3305.32</v>
      </c>
      <c r="E59" s="99">
        <v>3305.32</v>
      </c>
      <c r="F59" s="99">
        <v>3305.32</v>
      </c>
      <c r="G59" s="147">
        <v>3305.32</v>
      </c>
      <c r="H59" s="146">
        <v>3305.32</v>
      </c>
      <c r="I59" s="146">
        <v>3305.32</v>
      </c>
      <c r="J59" s="146">
        <v>3305.32</v>
      </c>
      <c r="K59" s="146">
        <v>3305.32</v>
      </c>
      <c r="L59" s="146">
        <v>3982.91</v>
      </c>
      <c r="M59" s="146">
        <v>3982.91</v>
      </c>
      <c r="N59" s="148">
        <v>3982.91</v>
      </c>
      <c r="O59" s="61"/>
    </row>
    <row r="60" spans="1:15" s="13" customFormat="1" ht="15" customHeight="1" x14ac:dyDescent="0.2">
      <c r="A60" s="29"/>
      <c r="B60" s="89" t="s">
        <v>9</v>
      </c>
      <c r="C60" s="114">
        <v>106.82</v>
      </c>
      <c r="D60" s="114">
        <v>106.82</v>
      </c>
      <c r="E60" s="115">
        <v>106.82</v>
      </c>
      <c r="F60" s="115">
        <v>106.82</v>
      </c>
      <c r="G60" s="116">
        <v>106.82</v>
      </c>
      <c r="H60" s="114">
        <v>106.82</v>
      </c>
      <c r="I60" s="114">
        <v>106.82</v>
      </c>
      <c r="J60" s="114">
        <v>106.82</v>
      </c>
      <c r="K60" s="114">
        <v>106.82</v>
      </c>
      <c r="L60" s="114">
        <v>121.67</v>
      </c>
      <c r="M60" s="114">
        <v>121.67</v>
      </c>
      <c r="N60" s="117">
        <v>121.67</v>
      </c>
      <c r="O60" s="61"/>
    </row>
    <row r="61" spans="1:15" s="13" customFormat="1" x14ac:dyDescent="0.2">
      <c r="A61" s="81"/>
      <c r="B61" s="91" t="s">
        <v>42</v>
      </c>
      <c r="C61" s="106">
        <v>5.3629999999999995</v>
      </c>
      <c r="D61" s="106">
        <v>5.3629999999999995</v>
      </c>
      <c r="E61" s="107">
        <v>5.3629999999999995</v>
      </c>
      <c r="F61" s="107">
        <v>5.3629999999999995</v>
      </c>
      <c r="G61" s="108">
        <v>5.3629999999999995</v>
      </c>
      <c r="H61" s="106">
        <v>5.3629999999999995</v>
      </c>
      <c r="I61" s="106">
        <v>5.3629999999999995</v>
      </c>
      <c r="J61" s="106">
        <v>5.3629999999999995</v>
      </c>
      <c r="K61" s="106">
        <v>5.3629999999999995</v>
      </c>
      <c r="L61" s="106">
        <v>6.1235300365250511</v>
      </c>
      <c r="M61" s="106">
        <v>6.1235300365250511</v>
      </c>
      <c r="N61" s="109">
        <v>6.1235300365250511</v>
      </c>
      <c r="O61" s="61"/>
    </row>
    <row r="62" spans="1:15" s="13" customFormat="1" ht="25.5" x14ac:dyDescent="0.2">
      <c r="A62" s="82"/>
      <c r="B62" s="87" t="s">
        <v>118</v>
      </c>
      <c r="C62" s="119">
        <f>SUM(C63:C64)</f>
        <v>1063691.4400000002</v>
      </c>
      <c r="D62" s="119">
        <f t="shared" ref="D62:N62" si="15">SUM(D63:D64)</f>
        <v>1007002.78</v>
      </c>
      <c r="E62" s="120">
        <f t="shared" si="15"/>
        <v>1062450.8899999999</v>
      </c>
      <c r="F62" s="120">
        <f t="shared" si="15"/>
        <v>1056190.19</v>
      </c>
      <c r="G62" s="119">
        <f t="shared" si="15"/>
        <v>1227142.22</v>
      </c>
      <c r="H62" s="119">
        <f t="shared" si="15"/>
        <v>1197387.5999999999</v>
      </c>
      <c r="I62" s="119">
        <f t="shared" si="15"/>
        <v>1200392.96</v>
      </c>
      <c r="J62" s="119">
        <f t="shared" si="15"/>
        <v>1192228.79</v>
      </c>
      <c r="K62" s="119">
        <f t="shared" si="15"/>
        <v>1192669.18</v>
      </c>
      <c r="L62" s="119">
        <f t="shared" si="15"/>
        <v>1225813.8399999999</v>
      </c>
      <c r="M62" s="119">
        <f t="shared" si="15"/>
        <v>1234126.6700000002</v>
      </c>
      <c r="N62" s="118">
        <f t="shared" si="15"/>
        <v>1233361.28</v>
      </c>
      <c r="O62" s="61"/>
    </row>
    <row r="63" spans="1:15" s="13" customFormat="1" ht="25.5" x14ac:dyDescent="0.2">
      <c r="A63" s="178"/>
      <c r="B63" s="91" t="s">
        <v>116</v>
      </c>
      <c r="C63" s="146">
        <v>850.58</v>
      </c>
      <c r="D63" s="146">
        <v>1150.1400000000001</v>
      </c>
      <c r="E63" s="99">
        <v>1178.98</v>
      </c>
      <c r="F63" s="99">
        <v>1377.28</v>
      </c>
      <c r="G63" s="147">
        <v>1386.94</v>
      </c>
      <c r="H63" s="146">
        <v>1354.18</v>
      </c>
      <c r="I63" s="146">
        <v>1251.6600000000001</v>
      </c>
      <c r="J63" s="146">
        <v>1551.11</v>
      </c>
      <c r="K63" s="146">
        <v>1608.71</v>
      </c>
      <c r="L63" s="146">
        <v>1250.6400000000001</v>
      </c>
      <c r="M63" s="146">
        <v>1067.3599999999999</v>
      </c>
      <c r="N63" s="158">
        <v>1060.92</v>
      </c>
      <c r="O63" s="61"/>
    </row>
    <row r="64" spans="1:15" s="13" customFormat="1" ht="26.25" thickBot="1" x14ac:dyDescent="0.25">
      <c r="A64" s="178"/>
      <c r="B64" s="90" t="s">
        <v>117</v>
      </c>
      <c r="C64" s="101">
        <v>1062840.8600000001</v>
      </c>
      <c r="D64" s="101">
        <v>1005852.64</v>
      </c>
      <c r="E64" s="102">
        <v>1061271.9099999999</v>
      </c>
      <c r="F64" s="102">
        <v>1054812.9099999999</v>
      </c>
      <c r="G64" s="157">
        <v>1225755.28</v>
      </c>
      <c r="H64" s="101">
        <v>1196033.42</v>
      </c>
      <c r="I64" s="101">
        <v>1199141.3</v>
      </c>
      <c r="J64" s="101">
        <v>1190677.68</v>
      </c>
      <c r="K64" s="101">
        <v>1191060.47</v>
      </c>
      <c r="L64" s="101">
        <v>1224563.2</v>
      </c>
      <c r="M64" s="101">
        <v>1233059.31</v>
      </c>
      <c r="N64" s="148">
        <v>1232300.3600000001</v>
      </c>
    </row>
    <row r="65" spans="1:15" s="13" customFormat="1" ht="26.25" thickBot="1" x14ac:dyDescent="0.25">
      <c r="A65" s="36" t="s">
        <v>33</v>
      </c>
      <c r="B65" s="37" t="s">
        <v>11</v>
      </c>
      <c r="C65" s="20"/>
      <c r="D65" s="20"/>
      <c r="E65" s="21"/>
      <c r="F65" s="21"/>
      <c r="G65" s="66"/>
      <c r="H65" s="20"/>
      <c r="I65" s="20"/>
      <c r="J65" s="20"/>
      <c r="K65" s="20"/>
      <c r="L65" s="20"/>
      <c r="M65" s="20"/>
      <c r="N65" s="55"/>
    </row>
    <row r="66" spans="1:15" s="13" customFormat="1" ht="14.25" customHeight="1" x14ac:dyDescent="0.2">
      <c r="A66" s="85"/>
      <c r="B66" s="88" t="s">
        <v>61</v>
      </c>
      <c r="C66" s="159">
        <f>SUM(C67:C69)</f>
        <v>2302.933</v>
      </c>
      <c r="D66" s="159">
        <f t="shared" ref="D66:N66" si="16">SUM(D67:D69)</f>
        <v>2500.0129999999999</v>
      </c>
      <c r="E66" s="160">
        <f t="shared" si="16"/>
        <v>2508.683</v>
      </c>
      <c r="F66" s="160">
        <f t="shared" si="16"/>
        <v>2473.0129999999999</v>
      </c>
      <c r="G66" s="160">
        <f t="shared" si="16"/>
        <v>2450.7829999999999</v>
      </c>
      <c r="H66" s="160">
        <f t="shared" si="16"/>
        <v>2461.8130000000001</v>
      </c>
      <c r="I66" s="160">
        <f t="shared" si="16"/>
        <v>2717.4830000000002</v>
      </c>
      <c r="J66" s="160">
        <f t="shared" si="16"/>
        <v>2744.0430000000001</v>
      </c>
      <c r="K66" s="160">
        <f t="shared" si="16"/>
        <v>2692.7930000000001</v>
      </c>
      <c r="L66" s="160">
        <f t="shared" si="16"/>
        <v>2753.7235300365251</v>
      </c>
      <c r="M66" s="160">
        <f t="shared" si="16"/>
        <v>2806.6035300365252</v>
      </c>
      <c r="N66" s="161">
        <f t="shared" si="16"/>
        <v>2757.743530036525</v>
      </c>
    </row>
    <row r="67" spans="1:15" s="13" customFormat="1" x14ac:dyDescent="0.2">
      <c r="A67" s="25"/>
      <c r="B67" s="89" t="s">
        <v>113</v>
      </c>
      <c r="C67" s="101">
        <f t="shared" ref="C67:N67" si="17">C58</f>
        <v>2190.75</v>
      </c>
      <c r="D67" s="101">
        <f t="shared" si="17"/>
        <v>2387.83</v>
      </c>
      <c r="E67" s="102">
        <f t="shared" si="17"/>
        <v>2396.5</v>
      </c>
      <c r="F67" s="102">
        <f t="shared" si="17"/>
        <v>2360.83</v>
      </c>
      <c r="G67" s="157">
        <f t="shared" si="17"/>
        <v>2338.6</v>
      </c>
      <c r="H67" s="101">
        <f t="shared" si="17"/>
        <v>2349.63</v>
      </c>
      <c r="I67" s="101">
        <f t="shared" si="17"/>
        <v>2605.3000000000002</v>
      </c>
      <c r="J67" s="101">
        <f t="shared" si="17"/>
        <v>2631.86</v>
      </c>
      <c r="K67" s="101">
        <f t="shared" si="17"/>
        <v>2580.61</v>
      </c>
      <c r="L67" s="101">
        <f t="shared" si="17"/>
        <v>2625.93</v>
      </c>
      <c r="M67" s="101">
        <f t="shared" si="17"/>
        <v>2678.81</v>
      </c>
      <c r="N67" s="158">
        <f t="shared" si="17"/>
        <v>2629.95</v>
      </c>
    </row>
    <row r="68" spans="1:15" s="13" customFormat="1" x14ac:dyDescent="0.2">
      <c r="A68" s="40"/>
      <c r="B68" s="90" t="s">
        <v>9</v>
      </c>
      <c r="C68" s="114">
        <v>106.82</v>
      </c>
      <c r="D68" s="114">
        <f t="shared" ref="D68:N68" si="18">D60</f>
        <v>106.82</v>
      </c>
      <c r="E68" s="115">
        <f t="shared" si="18"/>
        <v>106.82</v>
      </c>
      <c r="F68" s="115">
        <f t="shared" si="18"/>
        <v>106.82</v>
      </c>
      <c r="G68" s="121">
        <f t="shared" si="18"/>
        <v>106.82</v>
      </c>
      <c r="H68" s="115">
        <f t="shared" si="18"/>
        <v>106.82</v>
      </c>
      <c r="I68" s="115">
        <f t="shared" si="18"/>
        <v>106.82</v>
      </c>
      <c r="J68" s="115">
        <f t="shared" si="18"/>
        <v>106.82</v>
      </c>
      <c r="K68" s="115">
        <f t="shared" si="18"/>
        <v>106.82</v>
      </c>
      <c r="L68" s="115">
        <f t="shared" si="18"/>
        <v>121.67</v>
      </c>
      <c r="M68" s="115">
        <f t="shared" si="18"/>
        <v>121.67</v>
      </c>
      <c r="N68" s="122">
        <f t="shared" si="18"/>
        <v>121.67</v>
      </c>
    </row>
    <row r="69" spans="1:15" s="13" customFormat="1" x14ac:dyDescent="0.2">
      <c r="A69" s="81"/>
      <c r="B69" s="91" t="s">
        <v>42</v>
      </c>
      <c r="C69" s="106">
        <f>C61</f>
        <v>5.3629999999999995</v>
      </c>
      <c r="D69" s="106">
        <f t="shared" ref="D69:N69" si="19">D61</f>
        <v>5.3629999999999995</v>
      </c>
      <c r="E69" s="107">
        <f t="shared" si="19"/>
        <v>5.3629999999999995</v>
      </c>
      <c r="F69" s="107">
        <f t="shared" si="19"/>
        <v>5.3629999999999995</v>
      </c>
      <c r="G69" s="108">
        <f t="shared" si="19"/>
        <v>5.3629999999999995</v>
      </c>
      <c r="H69" s="106">
        <f t="shared" si="19"/>
        <v>5.3629999999999995</v>
      </c>
      <c r="I69" s="106">
        <f t="shared" si="19"/>
        <v>5.3629999999999995</v>
      </c>
      <c r="J69" s="106">
        <f t="shared" si="19"/>
        <v>5.3629999999999995</v>
      </c>
      <c r="K69" s="106">
        <f t="shared" si="19"/>
        <v>5.3629999999999995</v>
      </c>
      <c r="L69" s="106">
        <f t="shared" si="19"/>
        <v>6.1235300365250511</v>
      </c>
      <c r="M69" s="106">
        <f t="shared" si="19"/>
        <v>6.1235300365250511</v>
      </c>
      <c r="N69" s="109">
        <f t="shared" si="19"/>
        <v>6.1235300365250511</v>
      </c>
    </row>
    <row r="70" spans="1:15" s="13" customFormat="1" ht="25.5" x14ac:dyDescent="0.2">
      <c r="A70" s="81"/>
      <c r="B70" s="87" t="s">
        <v>118</v>
      </c>
      <c r="C70" s="119">
        <f>SUM(C71:C72)</f>
        <v>1063691.4400000002</v>
      </c>
      <c r="D70" s="119">
        <f t="shared" ref="D70:N70" si="20">SUM(D71:D72)</f>
        <v>1007002.78</v>
      </c>
      <c r="E70" s="120">
        <f t="shared" si="20"/>
        <v>1062450.8899999999</v>
      </c>
      <c r="F70" s="120">
        <f t="shared" si="20"/>
        <v>1056190.19</v>
      </c>
      <c r="G70" s="119">
        <f t="shared" si="20"/>
        <v>1227142.22</v>
      </c>
      <c r="H70" s="119">
        <f t="shared" si="20"/>
        <v>1197387.5999999999</v>
      </c>
      <c r="I70" s="119">
        <f t="shared" si="20"/>
        <v>1200392.96</v>
      </c>
      <c r="J70" s="119">
        <f t="shared" si="20"/>
        <v>1192228.79</v>
      </c>
      <c r="K70" s="119">
        <f t="shared" si="20"/>
        <v>1192669.18</v>
      </c>
      <c r="L70" s="119">
        <f t="shared" si="20"/>
        <v>1225813.8399999999</v>
      </c>
      <c r="M70" s="119">
        <f t="shared" si="20"/>
        <v>1234126.6700000002</v>
      </c>
      <c r="N70" s="127">
        <f t="shared" si="20"/>
        <v>1233361.28</v>
      </c>
    </row>
    <row r="71" spans="1:15" s="13" customFormat="1" ht="25.5" x14ac:dyDescent="0.2">
      <c r="A71" s="81"/>
      <c r="B71" s="91" t="s">
        <v>116</v>
      </c>
      <c r="C71" s="146">
        <v>850.58</v>
      </c>
      <c r="D71" s="146">
        <v>1150.1400000000001</v>
      </c>
      <c r="E71" s="99">
        <v>1178.98</v>
      </c>
      <c r="F71" s="99">
        <v>1377.28</v>
      </c>
      <c r="G71" s="147">
        <v>1386.94</v>
      </c>
      <c r="H71" s="146">
        <v>1354.18</v>
      </c>
      <c r="I71" s="146">
        <v>1251.6600000000001</v>
      </c>
      <c r="J71" s="146">
        <v>1551.11</v>
      </c>
      <c r="K71" s="146">
        <v>1608.71</v>
      </c>
      <c r="L71" s="146">
        <v>1250.6400000000001</v>
      </c>
      <c r="M71" s="146">
        <v>1067.3599999999999</v>
      </c>
      <c r="N71" s="158">
        <v>1060.92</v>
      </c>
    </row>
    <row r="72" spans="1:15" s="13" customFormat="1" ht="26.25" thickBot="1" x14ac:dyDescent="0.25">
      <c r="A72" s="32"/>
      <c r="B72" s="186" t="s">
        <v>117</v>
      </c>
      <c r="C72" s="194">
        <v>1062840.8600000001</v>
      </c>
      <c r="D72" s="194">
        <v>1005852.64</v>
      </c>
      <c r="E72" s="173">
        <v>1061271.9099999999</v>
      </c>
      <c r="F72" s="173">
        <v>1054812.9099999999</v>
      </c>
      <c r="G72" s="195">
        <v>1225755.28</v>
      </c>
      <c r="H72" s="194">
        <v>1196033.42</v>
      </c>
      <c r="I72" s="194">
        <v>1199141.3</v>
      </c>
      <c r="J72" s="194">
        <v>1190677.68</v>
      </c>
      <c r="K72" s="194">
        <v>1191060.47</v>
      </c>
      <c r="L72" s="194">
        <v>1224563.2</v>
      </c>
      <c r="M72" s="194">
        <v>1233059.31</v>
      </c>
      <c r="N72" s="188">
        <v>1232300.3600000001</v>
      </c>
    </row>
    <row r="73" spans="1:15" s="13" customFormat="1" ht="15" customHeight="1" x14ac:dyDescent="0.2">
      <c r="A73" s="45"/>
      <c r="B73" s="46"/>
      <c r="C73" s="47"/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5" s="13" customFormat="1" ht="15" customHeight="1" x14ac:dyDescent="0.2">
      <c r="A74" s="45"/>
      <c r="B74" s="46"/>
      <c r="C74" s="47"/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5" s="59" customFormat="1" ht="21" customHeight="1" thickBot="1" x14ac:dyDescent="0.25">
      <c r="A75" s="7" t="s">
        <v>97</v>
      </c>
      <c r="B75" s="7"/>
      <c r="C75" s="7"/>
      <c r="D75" s="7"/>
      <c r="E75" s="7"/>
      <c r="F75" s="7"/>
      <c r="G75" s="5"/>
      <c r="H75" s="5"/>
      <c r="I75" s="5"/>
      <c r="J75" s="5"/>
      <c r="K75" s="5"/>
      <c r="L75" s="6"/>
      <c r="M75" s="6"/>
      <c r="N75" s="6"/>
    </row>
    <row r="76" spans="1:15" s="13" customFormat="1" ht="24" customHeight="1" thickBot="1" x14ac:dyDescent="0.25">
      <c r="A76" s="49" t="s">
        <v>0</v>
      </c>
      <c r="B76" s="50" t="s">
        <v>1</v>
      </c>
      <c r="C76" s="51" t="s">
        <v>17</v>
      </c>
      <c r="D76" s="51" t="s">
        <v>18</v>
      </c>
      <c r="E76" s="51" t="s">
        <v>19</v>
      </c>
      <c r="F76" s="51" t="s">
        <v>20</v>
      </c>
      <c r="G76" s="51" t="s">
        <v>21</v>
      </c>
      <c r="H76" s="51" t="s">
        <v>22</v>
      </c>
      <c r="I76" s="51" t="s">
        <v>23</v>
      </c>
      <c r="J76" s="51" t="s">
        <v>24</v>
      </c>
      <c r="K76" s="51" t="s">
        <v>25</v>
      </c>
      <c r="L76" s="51" t="s">
        <v>26</v>
      </c>
      <c r="M76" s="51" t="s">
        <v>27</v>
      </c>
      <c r="N76" s="52" t="s">
        <v>28</v>
      </c>
    </row>
    <row r="77" spans="1:15" s="17" customFormat="1" ht="21" customHeight="1" thickBot="1" x14ac:dyDescent="0.25">
      <c r="A77" s="14" t="s">
        <v>34</v>
      </c>
      <c r="B77" s="15" t="s">
        <v>5</v>
      </c>
      <c r="C77" s="135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2"/>
      <c r="O77" s="44"/>
    </row>
    <row r="78" spans="1:15" s="17" customFormat="1" ht="14.25" customHeight="1" thickBot="1" x14ac:dyDescent="0.25">
      <c r="A78" s="18" t="s">
        <v>35</v>
      </c>
      <c r="B78" s="78" t="s">
        <v>7</v>
      </c>
      <c r="C78" s="20"/>
      <c r="D78" s="20"/>
      <c r="E78" s="21"/>
      <c r="F78" s="21"/>
      <c r="G78" s="63"/>
      <c r="H78" s="21"/>
      <c r="I78" s="21"/>
      <c r="J78" s="21"/>
      <c r="K78" s="21"/>
      <c r="L78" s="21"/>
      <c r="M78" s="21"/>
      <c r="N78" s="22"/>
      <c r="O78" s="61"/>
    </row>
    <row r="79" spans="1:15" s="13" customFormat="1" ht="15" customHeight="1" x14ac:dyDescent="0.2">
      <c r="A79" s="80"/>
      <c r="B79" s="86" t="s">
        <v>61</v>
      </c>
      <c r="C79" s="155">
        <f>SUM(C80:C83)</f>
        <v>6562.7529999999997</v>
      </c>
      <c r="D79" s="155">
        <f t="shared" ref="D79:N79" si="21">SUM(D80:D83)</f>
        <v>6759.8329999999996</v>
      </c>
      <c r="E79" s="156">
        <f t="shared" si="21"/>
        <v>6768.5029999999997</v>
      </c>
      <c r="F79" s="156">
        <f t="shared" si="21"/>
        <v>6732.8329999999996</v>
      </c>
      <c r="G79" s="156">
        <f t="shared" si="21"/>
        <v>6710.6030000000001</v>
      </c>
      <c r="H79" s="156">
        <f t="shared" si="21"/>
        <v>6721.6329999999998</v>
      </c>
      <c r="I79" s="156">
        <f t="shared" si="21"/>
        <v>6977.3029999999999</v>
      </c>
      <c r="J79" s="156">
        <f t="shared" si="21"/>
        <v>7003.8630000000003</v>
      </c>
      <c r="K79" s="156">
        <f t="shared" si="21"/>
        <v>6952.6130000000003</v>
      </c>
      <c r="L79" s="156">
        <f t="shared" si="21"/>
        <v>7959.2235300365255</v>
      </c>
      <c r="M79" s="156">
        <f t="shared" si="21"/>
        <v>8012.1035300365247</v>
      </c>
      <c r="N79" s="156">
        <f t="shared" si="21"/>
        <v>7963.243530036525</v>
      </c>
      <c r="O79" s="61"/>
    </row>
    <row r="80" spans="1:15" s="13" customFormat="1" ht="15" customHeight="1" x14ac:dyDescent="0.2">
      <c r="A80" s="29"/>
      <c r="B80" s="89" t="s">
        <v>113</v>
      </c>
      <c r="C80" s="101">
        <v>2190.75</v>
      </c>
      <c r="D80" s="101">
        <v>2387.83</v>
      </c>
      <c r="E80" s="102">
        <v>2396.5</v>
      </c>
      <c r="F80" s="102">
        <v>2360.83</v>
      </c>
      <c r="G80" s="157">
        <v>2338.6</v>
      </c>
      <c r="H80" s="101">
        <v>2349.63</v>
      </c>
      <c r="I80" s="101">
        <v>2605.3000000000002</v>
      </c>
      <c r="J80" s="101">
        <v>2631.86</v>
      </c>
      <c r="K80" s="101">
        <v>2580.61</v>
      </c>
      <c r="L80" s="101">
        <v>2625.93</v>
      </c>
      <c r="M80" s="101">
        <v>2678.81</v>
      </c>
      <c r="N80" s="158">
        <v>2629.95</v>
      </c>
      <c r="O80" s="61"/>
    </row>
    <row r="81" spans="1:15" s="13" customFormat="1" ht="15" customHeight="1" x14ac:dyDescent="0.2">
      <c r="A81" s="25"/>
      <c r="B81" s="90" t="s">
        <v>8</v>
      </c>
      <c r="C81" s="146">
        <v>4259.82</v>
      </c>
      <c r="D81" s="146">
        <v>4259.82</v>
      </c>
      <c r="E81" s="99">
        <v>4259.82</v>
      </c>
      <c r="F81" s="99">
        <v>4259.82</v>
      </c>
      <c r="G81" s="147">
        <v>4259.82</v>
      </c>
      <c r="H81" s="146">
        <v>4259.82</v>
      </c>
      <c r="I81" s="146">
        <v>4259.82</v>
      </c>
      <c r="J81" s="146">
        <v>4259.82</v>
      </c>
      <c r="K81" s="146">
        <v>4259.82</v>
      </c>
      <c r="L81" s="146">
        <v>5205.5</v>
      </c>
      <c r="M81" s="146">
        <v>5205.5</v>
      </c>
      <c r="N81" s="148">
        <v>5205.5</v>
      </c>
      <c r="O81" s="61"/>
    </row>
    <row r="82" spans="1:15" s="13" customFormat="1" ht="15" customHeight="1" x14ac:dyDescent="0.2">
      <c r="A82" s="29"/>
      <c r="B82" s="89" t="s">
        <v>9</v>
      </c>
      <c r="C82" s="114">
        <v>106.82</v>
      </c>
      <c r="D82" s="114">
        <v>106.82</v>
      </c>
      <c r="E82" s="115">
        <v>106.82</v>
      </c>
      <c r="F82" s="115">
        <v>106.82</v>
      </c>
      <c r="G82" s="116">
        <v>106.82</v>
      </c>
      <c r="H82" s="114">
        <v>106.82</v>
      </c>
      <c r="I82" s="114">
        <v>106.82</v>
      </c>
      <c r="J82" s="114">
        <v>106.82</v>
      </c>
      <c r="K82" s="114">
        <v>106.82</v>
      </c>
      <c r="L82" s="114">
        <v>121.67</v>
      </c>
      <c r="M82" s="114">
        <v>121.67</v>
      </c>
      <c r="N82" s="117">
        <v>121.67</v>
      </c>
      <c r="O82" s="61"/>
    </row>
    <row r="83" spans="1:15" s="13" customFormat="1" x14ac:dyDescent="0.2">
      <c r="A83" s="81"/>
      <c r="B83" s="91" t="s">
        <v>42</v>
      </c>
      <c r="C83" s="106">
        <v>5.3629999999999995</v>
      </c>
      <c r="D83" s="106">
        <v>5.3629999999999995</v>
      </c>
      <c r="E83" s="107">
        <v>5.3629999999999995</v>
      </c>
      <c r="F83" s="107">
        <v>5.3629999999999995</v>
      </c>
      <c r="G83" s="108">
        <v>5.3629999999999995</v>
      </c>
      <c r="H83" s="106">
        <v>5.3629999999999995</v>
      </c>
      <c r="I83" s="106">
        <v>5.3629999999999995</v>
      </c>
      <c r="J83" s="106">
        <v>5.3629999999999995</v>
      </c>
      <c r="K83" s="106">
        <v>5.3629999999999995</v>
      </c>
      <c r="L83" s="106">
        <v>6.1235300365250511</v>
      </c>
      <c r="M83" s="106">
        <v>6.1235300365250511</v>
      </c>
      <c r="N83" s="109">
        <v>6.1235300365250511</v>
      </c>
      <c r="O83" s="61"/>
    </row>
    <row r="84" spans="1:15" s="13" customFormat="1" ht="25.5" x14ac:dyDescent="0.2">
      <c r="A84" s="82"/>
      <c r="B84" s="87" t="s">
        <v>118</v>
      </c>
      <c r="C84" s="119">
        <f>SUM(C85:C86)</f>
        <v>1063691.4400000002</v>
      </c>
      <c r="D84" s="119">
        <f t="shared" ref="D84:N84" si="22">SUM(D85:D86)</f>
        <v>1007002.78</v>
      </c>
      <c r="E84" s="120">
        <f t="shared" si="22"/>
        <v>1062450.8899999999</v>
      </c>
      <c r="F84" s="120">
        <f t="shared" si="22"/>
        <v>1056190.19</v>
      </c>
      <c r="G84" s="119">
        <f t="shared" si="22"/>
        <v>1227142.22</v>
      </c>
      <c r="H84" s="119">
        <f t="shared" si="22"/>
        <v>1197387.5999999999</v>
      </c>
      <c r="I84" s="119">
        <f t="shared" si="22"/>
        <v>1200392.96</v>
      </c>
      <c r="J84" s="119">
        <f t="shared" si="22"/>
        <v>1192228.79</v>
      </c>
      <c r="K84" s="119">
        <f t="shared" si="22"/>
        <v>1192669.18</v>
      </c>
      <c r="L84" s="119">
        <f t="shared" si="22"/>
        <v>1225813.8399999999</v>
      </c>
      <c r="M84" s="119">
        <f t="shared" si="22"/>
        <v>1234126.6700000002</v>
      </c>
      <c r="N84" s="118">
        <f t="shared" si="22"/>
        <v>1233361.28</v>
      </c>
      <c r="O84" s="61"/>
    </row>
    <row r="85" spans="1:15" s="13" customFormat="1" ht="25.5" x14ac:dyDescent="0.2">
      <c r="A85" s="178"/>
      <c r="B85" s="91" t="s">
        <v>116</v>
      </c>
      <c r="C85" s="146">
        <v>850.58</v>
      </c>
      <c r="D85" s="146">
        <v>1150.1400000000001</v>
      </c>
      <c r="E85" s="99">
        <v>1178.98</v>
      </c>
      <c r="F85" s="99">
        <v>1377.28</v>
      </c>
      <c r="G85" s="147">
        <v>1386.94</v>
      </c>
      <c r="H85" s="146">
        <v>1354.18</v>
      </c>
      <c r="I85" s="146">
        <v>1251.6600000000001</v>
      </c>
      <c r="J85" s="146">
        <v>1551.11</v>
      </c>
      <c r="K85" s="146">
        <v>1608.71</v>
      </c>
      <c r="L85" s="146">
        <v>1250.6400000000001</v>
      </c>
      <c r="M85" s="146">
        <v>1067.3599999999999</v>
      </c>
      <c r="N85" s="158">
        <v>1060.92</v>
      </c>
      <c r="O85" s="61"/>
    </row>
    <row r="86" spans="1:15" s="13" customFormat="1" ht="26.25" thickBot="1" x14ac:dyDescent="0.25">
      <c r="A86" s="178"/>
      <c r="B86" s="90" t="s">
        <v>117</v>
      </c>
      <c r="C86" s="101">
        <v>1062840.8600000001</v>
      </c>
      <c r="D86" s="101">
        <v>1005852.64</v>
      </c>
      <c r="E86" s="102">
        <v>1061271.9099999999</v>
      </c>
      <c r="F86" s="102">
        <v>1054812.9099999999</v>
      </c>
      <c r="G86" s="157">
        <v>1225755.28</v>
      </c>
      <c r="H86" s="101">
        <v>1196033.42</v>
      </c>
      <c r="I86" s="101">
        <v>1199141.3</v>
      </c>
      <c r="J86" s="101">
        <v>1190677.68</v>
      </c>
      <c r="K86" s="101">
        <v>1191060.47</v>
      </c>
      <c r="L86" s="101">
        <v>1224563.2</v>
      </c>
      <c r="M86" s="101">
        <v>1233059.31</v>
      </c>
      <c r="N86" s="148">
        <v>1232300.3600000001</v>
      </c>
    </row>
    <row r="87" spans="1:15" s="13" customFormat="1" ht="26.25" thickBot="1" x14ac:dyDescent="0.25">
      <c r="A87" s="36" t="s">
        <v>36</v>
      </c>
      <c r="B87" s="37" t="s">
        <v>11</v>
      </c>
      <c r="C87" s="20"/>
      <c r="D87" s="20"/>
      <c r="E87" s="21"/>
      <c r="F87" s="21"/>
      <c r="G87" s="66"/>
      <c r="H87" s="20"/>
      <c r="I87" s="20"/>
      <c r="J87" s="20"/>
      <c r="K87" s="20"/>
      <c r="L87" s="20"/>
      <c r="M87" s="20"/>
      <c r="N87" s="55"/>
    </row>
    <row r="88" spans="1:15" s="13" customFormat="1" ht="14.25" customHeight="1" x14ac:dyDescent="0.2">
      <c r="A88" s="85"/>
      <c r="B88" s="88" t="s">
        <v>61</v>
      </c>
      <c r="C88" s="159">
        <f>SUM(C89:C91)</f>
        <v>2302.933</v>
      </c>
      <c r="D88" s="159">
        <f t="shared" ref="D88:N88" si="23">SUM(D89:D91)</f>
        <v>2500.0129999999999</v>
      </c>
      <c r="E88" s="160">
        <f t="shared" si="23"/>
        <v>2508.683</v>
      </c>
      <c r="F88" s="160">
        <f t="shared" si="23"/>
        <v>2473.0129999999999</v>
      </c>
      <c r="G88" s="160">
        <f t="shared" si="23"/>
        <v>2450.7829999999999</v>
      </c>
      <c r="H88" s="160">
        <f t="shared" si="23"/>
        <v>2461.8130000000001</v>
      </c>
      <c r="I88" s="160">
        <f t="shared" si="23"/>
        <v>2717.4830000000002</v>
      </c>
      <c r="J88" s="160">
        <f t="shared" si="23"/>
        <v>2744.0430000000001</v>
      </c>
      <c r="K88" s="160">
        <f t="shared" si="23"/>
        <v>2692.7930000000001</v>
      </c>
      <c r="L88" s="160">
        <f t="shared" si="23"/>
        <v>2753.7235300365251</v>
      </c>
      <c r="M88" s="160">
        <f t="shared" si="23"/>
        <v>2806.6035300365252</v>
      </c>
      <c r="N88" s="161">
        <f t="shared" si="23"/>
        <v>2757.743530036525</v>
      </c>
    </row>
    <row r="89" spans="1:15" s="13" customFormat="1" x14ac:dyDescent="0.2">
      <c r="A89" s="25"/>
      <c r="B89" s="89" t="s">
        <v>113</v>
      </c>
      <c r="C89" s="101">
        <f t="shared" ref="C89:N89" si="24">C80</f>
        <v>2190.75</v>
      </c>
      <c r="D89" s="101">
        <f t="shared" si="24"/>
        <v>2387.83</v>
      </c>
      <c r="E89" s="102">
        <f t="shared" si="24"/>
        <v>2396.5</v>
      </c>
      <c r="F89" s="102">
        <f t="shared" si="24"/>
        <v>2360.83</v>
      </c>
      <c r="G89" s="157">
        <f t="shared" si="24"/>
        <v>2338.6</v>
      </c>
      <c r="H89" s="101">
        <f t="shared" si="24"/>
        <v>2349.63</v>
      </c>
      <c r="I89" s="101">
        <f t="shared" si="24"/>
        <v>2605.3000000000002</v>
      </c>
      <c r="J89" s="101">
        <f t="shared" si="24"/>
        <v>2631.86</v>
      </c>
      <c r="K89" s="101">
        <f t="shared" si="24"/>
        <v>2580.61</v>
      </c>
      <c r="L89" s="101">
        <f t="shared" si="24"/>
        <v>2625.93</v>
      </c>
      <c r="M89" s="101">
        <f t="shared" si="24"/>
        <v>2678.81</v>
      </c>
      <c r="N89" s="158">
        <f t="shared" si="24"/>
        <v>2629.95</v>
      </c>
    </row>
    <row r="90" spans="1:15" s="13" customFormat="1" x14ac:dyDescent="0.2">
      <c r="A90" s="40"/>
      <c r="B90" s="90" t="s">
        <v>9</v>
      </c>
      <c r="C90" s="114">
        <v>106.82</v>
      </c>
      <c r="D90" s="114">
        <f t="shared" ref="D90:N90" si="25">D82</f>
        <v>106.82</v>
      </c>
      <c r="E90" s="115">
        <f t="shared" si="25"/>
        <v>106.82</v>
      </c>
      <c r="F90" s="115">
        <f t="shared" si="25"/>
        <v>106.82</v>
      </c>
      <c r="G90" s="121">
        <f t="shared" si="25"/>
        <v>106.82</v>
      </c>
      <c r="H90" s="115">
        <f t="shared" si="25"/>
        <v>106.82</v>
      </c>
      <c r="I90" s="115">
        <f t="shared" si="25"/>
        <v>106.82</v>
      </c>
      <c r="J90" s="115">
        <f t="shared" si="25"/>
        <v>106.82</v>
      </c>
      <c r="K90" s="115">
        <f t="shared" si="25"/>
        <v>106.82</v>
      </c>
      <c r="L90" s="115">
        <f t="shared" si="25"/>
        <v>121.67</v>
      </c>
      <c r="M90" s="115">
        <f t="shared" si="25"/>
        <v>121.67</v>
      </c>
      <c r="N90" s="122">
        <f t="shared" si="25"/>
        <v>121.67</v>
      </c>
    </row>
    <row r="91" spans="1:15" s="13" customFormat="1" x14ac:dyDescent="0.2">
      <c r="A91" s="81"/>
      <c r="B91" s="91" t="s">
        <v>42</v>
      </c>
      <c r="C91" s="106">
        <f>C83</f>
        <v>5.3629999999999995</v>
      </c>
      <c r="D91" s="106">
        <f t="shared" ref="D91:N91" si="26">D83</f>
        <v>5.3629999999999995</v>
      </c>
      <c r="E91" s="107">
        <f t="shared" si="26"/>
        <v>5.3629999999999995</v>
      </c>
      <c r="F91" s="107">
        <f t="shared" si="26"/>
        <v>5.3629999999999995</v>
      </c>
      <c r="G91" s="108">
        <f t="shared" si="26"/>
        <v>5.3629999999999995</v>
      </c>
      <c r="H91" s="106">
        <f t="shared" si="26"/>
        <v>5.3629999999999995</v>
      </c>
      <c r="I91" s="106">
        <f t="shared" si="26"/>
        <v>5.3629999999999995</v>
      </c>
      <c r="J91" s="106">
        <f t="shared" si="26"/>
        <v>5.3629999999999995</v>
      </c>
      <c r="K91" s="106">
        <f t="shared" si="26"/>
        <v>5.3629999999999995</v>
      </c>
      <c r="L91" s="106">
        <f t="shared" si="26"/>
        <v>6.1235300365250511</v>
      </c>
      <c r="M91" s="106">
        <f t="shared" si="26"/>
        <v>6.1235300365250511</v>
      </c>
      <c r="N91" s="109">
        <f t="shared" si="26"/>
        <v>6.1235300365250511</v>
      </c>
    </row>
    <row r="92" spans="1:15" s="13" customFormat="1" ht="25.5" x14ac:dyDescent="0.2">
      <c r="A92" s="81"/>
      <c r="B92" s="87" t="s">
        <v>118</v>
      </c>
      <c r="C92" s="119">
        <f>SUM(C93:C94)</f>
        <v>1063691.4400000002</v>
      </c>
      <c r="D92" s="119">
        <f t="shared" ref="D92:N92" si="27">SUM(D93:D94)</f>
        <v>1007002.78</v>
      </c>
      <c r="E92" s="120">
        <f t="shared" si="27"/>
        <v>1062450.8899999999</v>
      </c>
      <c r="F92" s="120">
        <f t="shared" si="27"/>
        <v>1056190.19</v>
      </c>
      <c r="G92" s="119">
        <f t="shared" si="27"/>
        <v>1227142.22</v>
      </c>
      <c r="H92" s="119">
        <f t="shared" si="27"/>
        <v>1197387.5999999999</v>
      </c>
      <c r="I92" s="119">
        <f t="shared" si="27"/>
        <v>1200392.96</v>
      </c>
      <c r="J92" s="119">
        <f t="shared" si="27"/>
        <v>1192228.79</v>
      </c>
      <c r="K92" s="119">
        <f t="shared" si="27"/>
        <v>1192669.18</v>
      </c>
      <c r="L92" s="119">
        <f t="shared" si="27"/>
        <v>1225813.8399999999</v>
      </c>
      <c r="M92" s="119">
        <f t="shared" si="27"/>
        <v>1234126.6700000002</v>
      </c>
      <c r="N92" s="127">
        <f t="shared" si="27"/>
        <v>1233361.28</v>
      </c>
    </row>
    <row r="93" spans="1:15" s="13" customFormat="1" ht="25.5" x14ac:dyDescent="0.2">
      <c r="A93" s="81"/>
      <c r="B93" s="91" t="s">
        <v>116</v>
      </c>
      <c r="C93" s="146">
        <v>850.58</v>
      </c>
      <c r="D93" s="146">
        <v>1150.1400000000001</v>
      </c>
      <c r="E93" s="99">
        <v>1178.98</v>
      </c>
      <c r="F93" s="99">
        <v>1377.28</v>
      </c>
      <c r="G93" s="147">
        <v>1386.94</v>
      </c>
      <c r="H93" s="146">
        <v>1354.18</v>
      </c>
      <c r="I93" s="146">
        <v>1251.6600000000001</v>
      </c>
      <c r="J93" s="146">
        <v>1551.11</v>
      </c>
      <c r="K93" s="146">
        <v>1608.71</v>
      </c>
      <c r="L93" s="146">
        <v>1250.6400000000001</v>
      </c>
      <c r="M93" s="146">
        <v>1067.3599999999999</v>
      </c>
      <c r="N93" s="158">
        <v>1060.92</v>
      </c>
    </row>
    <row r="94" spans="1:15" s="13" customFormat="1" ht="26.25" thickBot="1" x14ac:dyDescent="0.25">
      <c r="A94" s="32"/>
      <c r="B94" s="186" t="s">
        <v>117</v>
      </c>
      <c r="C94" s="194">
        <v>1062840.8600000001</v>
      </c>
      <c r="D94" s="194">
        <v>1005852.64</v>
      </c>
      <c r="E94" s="173">
        <v>1061271.9099999999</v>
      </c>
      <c r="F94" s="173">
        <v>1054812.9099999999</v>
      </c>
      <c r="G94" s="195">
        <v>1225755.28</v>
      </c>
      <c r="H94" s="194">
        <v>1196033.42</v>
      </c>
      <c r="I94" s="194">
        <v>1199141.3</v>
      </c>
      <c r="J94" s="194">
        <v>1190677.68</v>
      </c>
      <c r="K94" s="194">
        <v>1191060.47</v>
      </c>
      <c r="L94" s="194">
        <v>1224563.2</v>
      </c>
      <c r="M94" s="194">
        <v>1233059.31</v>
      </c>
      <c r="N94" s="188">
        <v>1232300.3600000001</v>
      </c>
    </row>
    <row r="95" spans="1:15" ht="15" customHeight="1" x14ac:dyDescent="0.2"/>
    <row r="96" spans="1:15" ht="15" customHeight="1" x14ac:dyDescent="0.2"/>
    <row r="97" spans="1:15" ht="93" customHeight="1" x14ac:dyDescent="0.2">
      <c r="A97" s="200" t="s">
        <v>114</v>
      </c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69"/>
    </row>
    <row r="98" spans="1:15" ht="30" customHeight="1" x14ac:dyDescent="0.2">
      <c r="A98" s="199" t="s">
        <v>115</v>
      </c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</row>
  </sheetData>
  <mergeCells count="11">
    <mergeCell ref="D33:N33"/>
    <mergeCell ref="D55:N55"/>
    <mergeCell ref="D77:N77"/>
    <mergeCell ref="A97:N97"/>
    <mergeCell ref="A98:N98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32769" r:id="rId4">
          <objectPr defaultSize="0" autoPict="0" r:id="rId5">
            <anchor moveWithCells="1" sizeWithCells="1">
              <from>
                <xdr:col>1</xdr:col>
                <xdr:colOff>0</xdr:colOff>
                <xdr:row>95</xdr:row>
                <xdr:rowOff>0</xdr:rowOff>
              </from>
              <to>
                <xdr:col>1</xdr:col>
                <xdr:colOff>142875</xdr:colOff>
                <xdr:row>95</xdr:row>
                <xdr:rowOff>0</xdr:rowOff>
              </to>
            </anchor>
          </objectPr>
        </oleObject>
      </mc:Choice>
      <mc:Fallback>
        <oleObject progId="Equation.3" shapeId="32769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8">
    <tabColor rgb="FFFFFF00"/>
  </sheetPr>
  <dimension ref="A1:O158"/>
  <sheetViews>
    <sheetView view="pageBreakPreview" zoomScale="85" zoomScaleNormal="80" zoomScaleSheetLayoutView="85" workbookViewId="0">
      <pane ySplit="5" topLeftCell="A6" activePane="bottomLeft" state="frozen"/>
      <selection activeCell="P1" sqref="P1:R12"/>
      <selection pane="bottomLeft" activeCell="A6" sqref="A6"/>
    </sheetView>
  </sheetViews>
  <sheetFormatPr defaultColWidth="9.140625" defaultRowHeight="14.25" x14ac:dyDescent="0.2"/>
  <cols>
    <col min="1" max="1" width="7.5703125" style="9" customWidth="1"/>
    <col min="2" max="2" width="57.5703125" style="10" customWidth="1"/>
    <col min="3" max="4" width="11.7109375" style="11" customWidth="1"/>
    <col min="5" max="6" width="11.7109375" style="12" customWidth="1"/>
    <col min="7" max="14" width="11.7109375" style="10" customWidth="1"/>
    <col min="15" max="15" width="17" style="60" customWidth="1"/>
    <col min="16" max="16384" width="9.140625" style="60"/>
  </cols>
  <sheetData>
    <row r="1" spans="1:15" s="56" customFormat="1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68" t="s">
        <v>57</v>
      </c>
    </row>
    <row r="2" spans="1:15" s="57" customFormat="1" ht="18" customHeight="1" x14ac:dyDescent="0.2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5" s="57" customFormat="1" ht="18" customHeight="1" x14ac:dyDescent="0.2">
      <c r="A3" s="205" t="s">
        <v>103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5" s="57" customFormat="1" ht="18" customHeight="1" x14ac:dyDescent="0.2">
      <c r="A4" s="205" t="s">
        <v>122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5" s="58" customFormat="1" ht="14.25" customHeight="1" x14ac:dyDescent="0.25">
      <c r="A5" s="204" t="s">
        <v>124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5" s="58" customFormat="1" ht="14.25" customHeight="1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5" s="58" customFormat="1" ht="34.5" customHeight="1" x14ac:dyDescent="0.25">
      <c r="A7" s="206" t="s">
        <v>63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5" s="59" customFormat="1" ht="17.25" customHeight="1" x14ac:dyDescent="0.2">
      <c r="A8" s="8"/>
      <c r="B8" s="137"/>
      <c r="C8" s="137"/>
      <c r="D8" s="137"/>
      <c r="E8" s="4"/>
      <c r="F8" s="4"/>
      <c r="G8" s="5"/>
      <c r="H8" s="5"/>
      <c r="I8" s="5"/>
      <c r="J8" s="5"/>
      <c r="K8" s="5"/>
      <c r="L8" s="6"/>
      <c r="M8" s="6"/>
      <c r="N8" s="6"/>
    </row>
    <row r="9" spans="1:15" s="59" customFormat="1" ht="21" customHeight="1" thickBot="1" x14ac:dyDescent="0.25">
      <c r="A9" s="7" t="s">
        <v>98</v>
      </c>
      <c r="B9" s="7"/>
      <c r="C9" s="7"/>
      <c r="D9" s="7"/>
      <c r="E9" s="7"/>
      <c r="F9" s="7"/>
      <c r="G9" s="5"/>
      <c r="H9" s="5"/>
      <c r="I9" s="5"/>
      <c r="J9" s="5"/>
      <c r="K9" s="5"/>
      <c r="L9" s="6"/>
      <c r="M9" s="6"/>
      <c r="N9" s="6"/>
    </row>
    <row r="10" spans="1:15" s="13" customFormat="1" ht="24" customHeight="1" thickBot="1" x14ac:dyDescent="0.25">
      <c r="A10" s="49" t="s">
        <v>0</v>
      </c>
      <c r="B10" s="50" t="s">
        <v>1</v>
      </c>
      <c r="C10" s="51" t="s">
        <v>17</v>
      </c>
      <c r="D10" s="51" t="s">
        <v>18</v>
      </c>
      <c r="E10" s="51" t="s">
        <v>19</v>
      </c>
      <c r="F10" s="51" t="s">
        <v>20</v>
      </c>
      <c r="G10" s="51" t="s">
        <v>21</v>
      </c>
      <c r="H10" s="51" t="s">
        <v>22</v>
      </c>
      <c r="I10" s="51" t="s">
        <v>23</v>
      </c>
      <c r="J10" s="51" t="s">
        <v>24</v>
      </c>
      <c r="K10" s="51" t="s">
        <v>25</v>
      </c>
      <c r="L10" s="51" t="s">
        <v>26</v>
      </c>
      <c r="M10" s="51" t="s">
        <v>27</v>
      </c>
      <c r="N10" s="52" t="s">
        <v>28</v>
      </c>
    </row>
    <row r="11" spans="1:15" s="17" customFormat="1" ht="21" customHeight="1" thickBot="1" x14ac:dyDescent="0.25">
      <c r="A11" s="14" t="s">
        <v>4</v>
      </c>
      <c r="B11" s="15" t="s">
        <v>5</v>
      </c>
      <c r="C11" s="135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44"/>
    </row>
    <row r="12" spans="1:15" s="17" customFormat="1" ht="14.25" customHeight="1" thickBot="1" x14ac:dyDescent="0.25">
      <c r="A12" s="18" t="s">
        <v>6</v>
      </c>
      <c r="B12" s="78" t="s">
        <v>7</v>
      </c>
      <c r="C12" s="20"/>
      <c r="D12" s="20"/>
      <c r="E12" s="21"/>
      <c r="F12" s="21"/>
      <c r="G12" s="63"/>
      <c r="H12" s="21"/>
      <c r="I12" s="21"/>
      <c r="J12" s="21"/>
      <c r="K12" s="21"/>
      <c r="L12" s="21"/>
      <c r="M12" s="21"/>
      <c r="N12" s="22"/>
      <c r="O12" s="61"/>
    </row>
    <row r="13" spans="1:15" s="13" customFormat="1" ht="15" customHeight="1" x14ac:dyDescent="0.2">
      <c r="A13" s="80"/>
      <c r="B13" s="86" t="s">
        <v>61</v>
      </c>
      <c r="C13" s="155">
        <f>SUM(C14:C17)</f>
        <v>2410.0030000000002</v>
      </c>
      <c r="D13" s="155">
        <f t="shared" ref="D13:N13" si="0">SUM(D14:D17)</f>
        <v>2607.0830000000001</v>
      </c>
      <c r="E13" s="156">
        <f t="shared" si="0"/>
        <v>2615.7530000000002</v>
      </c>
      <c r="F13" s="156">
        <f t="shared" si="0"/>
        <v>2580.0830000000001</v>
      </c>
      <c r="G13" s="156">
        <f t="shared" si="0"/>
        <v>2557.8530000000001</v>
      </c>
      <c r="H13" s="156">
        <f t="shared" si="0"/>
        <v>2568.8830000000003</v>
      </c>
      <c r="I13" s="156">
        <f t="shared" si="0"/>
        <v>2824.5530000000003</v>
      </c>
      <c r="J13" s="156">
        <f t="shared" si="0"/>
        <v>2851.1130000000003</v>
      </c>
      <c r="K13" s="156">
        <f t="shared" si="0"/>
        <v>2799.8630000000003</v>
      </c>
      <c r="L13" s="156">
        <f t="shared" si="0"/>
        <v>2877.0635300365252</v>
      </c>
      <c r="M13" s="156">
        <f t="shared" si="0"/>
        <v>2929.9435300365253</v>
      </c>
      <c r="N13" s="156">
        <f t="shared" si="0"/>
        <v>2881.0835300365252</v>
      </c>
      <c r="O13" s="61"/>
    </row>
    <row r="14" spans="1:15" s="13" customFormat="1" ht="15" customHeight="1" x14ac:dyDescent="0.2">
      <c r="A14" s="29"/>
      <c r="B14" s="89" t="s">
        <v>113</v>
      </c>
      <c r="C14" s="101">
        <v>2190.75</v>
      </c>
      <c r="D14" s="101">
        <v>2387.83</v>
      </c>
      <c r="E14" s="102">
        <v>2396.5</v>
      </c>
      <c r="F14" s="102">
        <v>2360.83</v>
      </c>
      <c r="G14" s="157">
        <v>2338.6</v>
      </c>
      <c r="H14" s="101">
        <v>2349.63</v>
      </c>
      <c r="I14" s="101">
        <v>2605.3000000000002</v>
      </c>
      <c r="J14" s="101">
        <v>2631.86</v>
      </c>
      <c r="K14" s="101">
        <v>2580.61</v>
      </c>
      <c r="L14" s="101">
        <v>2625.93</v>
      </c>
      <c r="M14" s="101">
        <v>2678.81</v>
      </c>
      <c r="N14" s="158">
        <v>2629.95</v>
      </c>
      <c r="O14" s="61"/>
    </row>
    <row r="15" spans="1:15" s="13" customFormat="1" ht="15" customHeight="1" x14ac:dyDescent="0.2">
      <c r="A15" s="25"/>
      <c r="B15" s="90" t="s">
        <v>64</v>
      </c>
      <c r="C15" s="114">
        <v>107.07</v>
      </c>
      <c r="D15" s="114">
        <v>107.07</v>
      </c>
      <c r="E15" s="115">
        <v>107.07</v>
      </c>
      <c r="F15" s="115">
        <v>107.07</v>
      </c>
      <c r="G15" s="116">
        <v>107.07</v>
      </c>
      <c r="H15" s="114">
        <v>107.07</v>
      </c>
      <c r="I15" s="114">
        <v>107.07</v>
      </c>
      <c r="J15" s="114">
        <v>107.07</v>
      </c>
      <c r="K15" s="114">
        <v>107.07</v>
      </c>
      <c r="L15" s="114">
        <v>123.34</v>
      </c>
      <c r="M15" s="114">
        <v>123.34</v>
      </c>
      <c r="N15" s="117">
        <v>123.34</v>
      </c>
      <c r="O15" s="61"/>
    </row>
    <row r="16" spans="1:15" s="13" customFormat="1" ht="15" customHeight="1" x14ac:dyDescent="0.2">
      <c r="A16" s="29"/>
      <c r="B16" s="89" t="s">
        <v>9</v>
      </c>
      <c r="C16" s="114">
        <v>106.82</v>
      </c>
      <c r="D16" s="114">
        <v>106.82</v>
      </c>
      <c r="E16" s="115">
        <v>106.82</v>
      </c>
      <c r="F16" s="115">
        <v>106.82</v>
      </c>
      <c r="G16" s="116">
        <v>106.82</v>
      </c>
      <c r="H16" s="114">
        <v>106.82</v>
      </c>
      <c r="I16" s="114">
        <v>106.82</v>
      </c>
      <c r="J16" s="114">
        <v>106.82</v>
      </c>
      <c r="K16" s="114">
        <v>106.82</v>
      </c>
      <c r="L16" s="114">
        <v>121.67</v>
      </c>
      <c r="M16" s="114">
        <v>121.67</v>
      </c>
      <c r="N16" s="117">
        <v>121.67</v>
      </c>
      <c r="O16" s="61"/>
    </row>
    <row r="17" spans="1:15" s="13" customFormat="1" x14ac:dyDescent="0.2">
      <c r="A17" s="81"/>
      <c r="B17" s="91" t="s">
        <v>42</v>
      </c>
      <c r="C17" s="106">
        <v>5.3629999999999995</v>
      </c>
      <c r="D17" s="106">
        <v>5.3629999999999995</v>
      </c>
      <c r="E17" s="107">
        <v>5.3629999999999995</v>
      </c>
      <c r="F17" s="107">
        <v>5.3629999999999995</v>
      </c>
      <c r="G17" s="108">
        <v>5.3629999999999995</v>
      </c>
      <c r="H17" s="106">
        <v>5.3629999999999995</v>
      </c>
      <c r="I17" s="106">
        <v>5.3629999999999995</v>
      </c>
      <c r="J17" s="106">
        <v>5.3629999999999995</v>
      </c>
      <c r="K17" s="106">
        <v>5.3629999999999995</v>
      </c>
      <c r="L17" s="106">
        <v>6.1235300365250511</v>
      </c>
      <c r="M17" s="106">
        <v>6.1235300365250511</v>
      </c>
      <c r="N17" s="109">
        <v>6.1235300365250511</v>
      </c>
      <c r="O17" s="61"/>
    </row>
    <row r="18" spans="1:15" s="13" customFormat="1" ht="25.5" x14ac:dyDescent="0.2">
      <c r="A18" s="82"/>
      <c r="B18" s="87" t="s">
        <v>118</v>
      </c>
      <c r="C18" s="119">
        <f>SUM(C19:C20)</f>
        <v>1063691.4400000002</v>
      </c>
      <c r="D18" s="119">
        <f t="shared" ref="D18:N18" si="1">SUM(D19:D20)</f>
        <v>1007002.78</v>
      </c>
      <c r="E18" s="120">
        <f t="shared" si="1"/>
        <v>1062450.8899999999</v>
      </c>
      <c r="F18" s="120">
        <f t="shared" si="1"/>
        <v>1056190.19</v>
      </c>
      <c r="G18" s="119">
        <f t="shared" si="1"/>
        <v>1227142.22</v>
      </c>
      <c r="H18" s="119">
        <f t="shared" si="1"/>
        <v>1197387.5999999999</v>
      </c>
      <c r="I18" s="119">
        <f t="shared" si="1"/>
        <v>1200392.96</v>
      </c>
      <c r="J18" s="119">
        <f t="shared" si="1"/>
        <v>1192228.79</v>
      </c>
      <c r="K18" s="119">
        <f t="shared" si="1"/>
        <v>1192669.18</v>
      </c>
      <c r="L18" s="119">
        <f t="shared" si="1"/>
        <v>1225813.8399999999</v>
      </c>
      <c r="M18" s="119">
        <f t="shared" si="1"/>
        <v>1234126.6700000002</v>
      </c>
      <c r="N18" s="118">
        <f t="shared" si="1"/>
        <v>1233361.28</v>
      </c>
    </row>
    <row r="19" spans="1:15" s="13" customFormat="1" ht="25.5" x14ac:dyDescent="0.2">
      <c r="A19" s="178"/>
      <c r="B19" s="91" t="s">
        <v>116</v>
      </c>
      <c r="C19" s="146">
        <v>850.58</v>
      </c>
      <c r="D19" s="146">
        <v>1150.1400000000001</v>
      </c>
      <c r="E19" s="99">
        <v>1178.98</v>
      </c>
      <c r="F19" s="99">
        <v>1377.28</v>
      </c>
      <c r="G19" s="147">
        <v>1386.94</v>
      </c>
      <c r="H19" s="146">
        <v>1354.18</v>
      </c>
      <c r="I19" s="146">
        <v>1251.6600000000001</v>
      </c>
      <c r="J19" s="146">
        <v>1551.11</v>
      </c>
      <c r="K19" s="146">
        <v>1608.71</v>
      </c>
      <c r="L19" s="146">
        <v>1250.6400000000001</v>
      </c>
      <c r="M19" s="146">
        <v>1067.3599999999999</v>
      </c>
      <c r="N19" s="158">
        <v>1060.92</v>
      </c>
    </row>
    <row r="20" spans="1:15" s="13" customFormat="1" ht="25.5" x14ac:dyDescent="0.2">
      <c r="A20" s="178"/>
      <c r="B20" s="90" t="s">
        <v>117</v>
      </c>
      <c r="C20" s="146">
        <v>1062840.8600000001</v>
      </c>
      <c r="D20" s="146">
        <v>1005852.64</v>
      </c>
      <c r="E20" s="99">
        <v>1061271.9099999999</v>
      </c>
      <c r="F20" s="99">
        <v>1054812.9099999999</v>
      </c>
      <c r="G20" s="147">
        <v>1225755.28</v>
      </c>
      <c r="H20" s="146">
        <v>1196033.42</v>
      </c>
      <c r="I20" s="146">
        <v>1199141.3</v>
      </c>
      <c r="J20" s="146">
        <v>1190677.68</v>
      </c>
      <c r="K20" s="146">
        <v>1191060.47</v>
      </c>
      <c r="L20" s="146">
        <v>1224563.2</v>
      </c>
      <c r="M20" s="101">
        <v>1233059.31</v>
      </c>
      <c r="N20" s="148">
        <v>1232300.3600000001</v>
      </c>
    </row>
    <row r="21" spans="1:15" s="13" customFormat="1" ht="26.25" thickBot="1" x14ac:dyDescent="0.25">
      <c r="A21" s="84"/>
      <c r="B21" s="191" t="s">
        <v>65</v>
      </c>
      <c r="C21" s="128">
        <v>1067251.07</v>
      </c>
      <c r="D21" s="129">
        <v>1067251.07</v>
      </c>
      <c r="E21" s="130">
        <v>1067251.07</v>
      </c>
      <c r="F21" s="130">
        <v>1067251.07</v>
      </c>
      <c r="G21" s="131">
        <v>1067251.07</v>
      </c>
      <c r="H21" s="128">
        <v>1067251.07</v>
      </c>
      <c r="I21" s="129">
        <v>1067251.07</v>
      </c>
      <c r="J21" s="128">
        <v>1067251.07</v>
      </c>
      <c r="K21" s="129">
        <v>1067251.07</v>
      </c>
      <c r="L21" s="128">
        <v>1241212.99</v>
      </c>
      <c r="M21" s="123">
        <v>1241212.99</v>
      </c>
      <c r="N21" s="132">
        <v>1241212.99</v>
      </c>
    </row>
    <row r="22" spans="1:15" s="13" customFormat="1" ht="26.25" thickBot="1" x14ac:dyDescent="0.25">
      <c r="A22" s="36" t="s">
        <v>10</v>
      </c>
      <c r="B22" s="37" t="s">
        <v>11</v>
      </c>
      <c r="C22" s="20"/>
      <c r="D22" s="20"/>
      <c r="E22" s="21"/>
      <c r="F22" s="21"/>
      <c r="G22" s="66"/>
      <c r="H22" s="20"/>
      <c r="I22" s="20"/>
      <c r="J22" s="20"/>
      <c r="K22" s="20"/>
      <c r="L22" s="20"/>
      <c r="M22" s="20"/>
      <c r="N22" s="55"/>
    </row>
    <row r="23" spans="1:15" s="13" customFormat="1" ht="14.25" customHeight="1" x14ac:dyDescent="0.2">
      <c r="A23" s="85"/>
      <c r="B23" s="88" t="s">
        <v>61</v>
      </c>
      <c r="C23" s="159">
        <f>SUM(C24:C26)</f>
        <v>2302.933</v>
      </c>
      <c r="D23" s="159">
        <f t="shared" ref="D23:N23" si="2">SUM(D24:D26)</f>
        <v>2500.0129999999999</v>
      </c>
      <c r="E23" s="160">
        <f t="shared" si="2"/>
        <v>2508.683</v>
      </c>
      <c r="F23" s="160">
        <f t="shared" si="2"/>
        <v>2473.0129999999999</v>
      </c>
      <c r="G23" s="160">
        <f t="shared" si="2"/>
        <v>2450.7829999999999</v>
      </c>
      <c r="H23" s="160">
        <f t="shared" si="2"/>
        <v>2461.8130000000001</v>
      </c>
      <c r="I23" s="160">
        <f t="shared" si="2"/>
        <v>2717.4830000000002</v>
      </c>
      <c r="J23" s="160">
        <f t="shared" si="2"/>
        <v>2744.0430000000001</v>
      </c>
      <c r="K23" s="160">
        <f t="shared" si="2"/>
        <v>2692.7930000000001</v>
      </c>
      <c r="L23" s="160">
        <f t="shared" si="2"/>
        <v>2753.7235300365251</v>
      </c>
      <c r="M23" s="160">
        <f t="shared" si="2"/>
        <v>2806.6035300365252</v>
      </c>
      <c r="N23" s="161">
        <f t="shared" si="2"/>
        <v>2757.743530036525</v>
      </c>
    </row>
    <row r="24" spans="1:15" s="13" customFormat="1" x14ac:dyDescent="0.2">
      <c r="A24" s="25"/>
      <c r="B24" s="89" t="s">
        <v>113</v>
      </c>
      <c r="C24" s="101">
        <v>2190.75</v>
      </c>
      <c r="D24" s="101">
        <v>2387.83</v>
      </c>
      <c r="E24" s="102">
        <v>2396.5</v>
      </c>
      <c r="F24" s="102">
        <v>2360.83</v>
      </c>
      <c r="G24" s="157">
        <v>2338.6</v>
      </c>
      <c r="H24" s="101">
        <v>2349.63</v>
      </c>
      <c r="I24" s="101">
        <v>2605.3000000000002</v>
      </c>
      <c r="J24" s="101">
        <v>2631.86</v>
      </c>
      <c r="K24" s="101">
        <v>2580.61</v>
      </c>
      <c r="L24" s="101">
        <v>2625.93</v>
      </c>
      <c r="M24" s="101">
        <v>2678.81</v>
      </c>
      <c r="N24" s="158">
        <v>2629.95</v>
      </c>
    </row>
    <row r="25" spans="1:15" s="13" customFormat="1" x14ac:dyDescent="0.2">
      <c r="A25" s="40"/>
      <c r="B25" s="90" t="s">
        <v>9</v>
      </c>
      <c r="C25" s="114">
        <v>106.82</v>
      </c>
      <c r="D25" s="114">
        <v>106.82</v>
      </c>
      <c r="E25" s="115">
        <v>106.82</v>
      </c>
      <c r="F25" s="115">
        <v>106.82</v>
      </c>
      <c r="G25" s="121">
        <v>106.82</v>
      </c>
      <c r="H25" s="115">
        <v>106.82</v>
      </c>
      <c r="I25" s="115">
        <v>106.82</v>
      </c>
      <c r="J25" s="115">
        <v>106.82</v>
      </c>
      <c r="K25" s="115">
        <v>106.82</v>
      </c>
      <c r="L25" s="115">
        <v>121.67</v>
      </c>
      <c r="M25" s="115">
        <v>121.67</v>
      </c>
      <c r="N25" s="122">
        <v>121.67</v>
      </c>
    </row>
    <row r="26" spans="1:15" s="13" customFormat="1" x14ac:dyDescent="0.2">
      <c r="A26" s="81"/>
      <c r="B26" s="91" t="s">
        <v>42</v>
      </c>
      <c r="C26" s="106">
        <f>C17</f>
        <v>5.3629999999999995</v>
      </c>
      <c r="D26" s="106">
        <f t="shared" ref="D26:N26" si="3">D17</f>
        <v>5.3629999999999995</v>
      </c>
      <c r="E26" s="107">
        <f t="shared" si="3"/>
        <v>5.3629999999999995</v>
      </c>
      <c r="F26" s="107">
        <f t="shared" si="3"/>
        <v>5.3629999999999995</v>
      </c>
      <c r="G26" s="108">
        <f t="shared" si="3"/>
        <v>5.3629999999999995</v>
      </c>
      <c r="H26" s="106">
        <f t="shared" si="3"/>
        <v>5.3629999999999995</v>
      </c>
      <c r="I26" s="106">
        <f t="shared" si="3"/>
        <v>5.3629999999999995</v>
      </c>
      <c r="J26" s="106">
        <f t="shared" si="3"/>
        <v>5.3629999999999995</v>
      </c>
      <c r="K26" s="106">
        <f t="shared" si="3"/>
        <v>5.3629999999999995</v>
      </c>
      <c r="L26" s="106">
        <f t="shared" si="3"/>
        <v>6.1235300365250511</v>
      </c>
      <c r="M26" s="106">
        <f t="shared" si="3"/>
        <v>6.1235300365250511</v>
      </c>
      <c r="N26" s="109">
        <f t="shared" si="3"/>
        <v>6.1235300365250511</v>
      </c>
    </row>
    <row r="27" spans="1:15" s="13" customFormat="1" ht="25.5" x14ac:dyDescent="0.2">
      <c r="A27" s="82"/>
      <c r="B27" s="87" t="s">
        <v>118</v>
      </c>
      <c r="C27" s="119">
        <f>SUM(C28:C29)</f>
        <v>1063691.4400000002</v>
      </c>
      <c r="D27" s="119">
        <f t="shared" ref="D27:N27" si="4">SUM(D28:D29)</f>
        <v>1007002.78</v>
      </c>
      <c r="E27" s="120">
        <f t="shared" si="4"/>
        <v>1062450.8899999999</v>
      </c>
      <c r="F27" s="120">
        <f t="shared" si="4"/>
        <v>1056190.19</v>
      </c>
      <c r="G27" s="119">
        <f t="shared" si="4"/>
        <v>1227142.22</v>
      </c>
      <c r="H27" s="119">
        <f t="shared" si="4"/>
        <v>1197387.5999999999</v>
      </c>
      <c r="I27" s="119">
        <f t="shared" si="4"/>
        <v>1200392.96</v>
      </c>
      <c r="J27" s="119">
        <f t="shared" si="4"/>
        <v>1192228.79</v>
      </c>
      <c r="K27" s="119">
        <f t="shared" si="4"/>
        <v>1192669.18</v>
      </c>
      <c r="L27" s="119">
        <f t="shared" si="4"/>
        <v>1225813.8399999999</v>
      </c>
      <c r="M27" s="119">
        <f t="shared" si="4"/>
        <v>1234126.6700000002</v>
      </c>
      <c r="N27" s="118">
        <f t="shared" si="4"/>
        <v>1233361.28</v>
      </c>
    </row>
    <row r="28" spans="1:15" s="13" customFormat="1" ht="25.5" x14ac:dyDescent="0.2">
      <c r="A28" s="178"/>
      <c r="B28" s="91" t="s">
        <v>116</v>
      </c>
      <c r="C28" s="146">
        <v>850.58</v>
      </c>
      <c r="D28" s="146">
        <v>1150.1400000000001</v>
      </c>
      <c r="E28" s="99">
        <v>1178.98</v>
      </c>
      <c r="F28" s="99">
        <v>1377.28</v>
      </c>
      <c r="G28" s="147">
        <v>1386.94</v>
      </c>
      <c r="H28" s="146">
        <v>1354.18</v>
      </c>
      <c r="I28" s="146">
        <v>1251.6600000000001</v>
      </c>
      <c r="J28" s="146">
        <v>1551.11</v>
      </c>
      <c r="K28" s="146">
        <v>1608.71</v>
      </c>
      <c r="L28" s="146">
        <v>1250.6400000000001</v>
      </c>
      <c r="M28" s="146">
        <v>1067.3599999999999</v>
      </c>
      <c r="N28" s="158">
        <v>1060.92</v>
      </c>
    </row>
    <row r="29" spans="1:15" s="13" customFormat="1" ht="26.25" thickBot="1" x14ac:dyDescent="0.25">
      <c r="A29" s="178"/>
      <c r="B29" s="90" t="s">
        <v>117</v>
      </c>
      <c r="C29" s="101">
        <v>1062840.8600000001</v>
      </c>
      <c r="D29" s="101">
        <v>1005852.64</v>
      </c>
      <c r="E29" s="102">
        <v>1061271.9099999999</v>
      </c>
      <c r="F29" s="102">
        <v>1054812.9099999999</v>
      </c>
      <c r="G29" s="157">
        <v>1225755.28</v>
      </c>
      <c r="H29" s="101">
        <v>1196033.42</v>
      </c>
      <c r="I29" s="101">
        <v>1199141.3</v>
      </c>
      <c r="J29" s="101">
        <v>1190677.68</v>
      </c>
      <c r="K29" s="101">
        <v>1191060.47</v>
      </c>
      <c r="L29" s="101">
        <v>1224563.2</v>
      </c>
      <c r="M29" s="101">
        <v>1233059.31</v>
      </c>
      <c r="N29" s="148">
        <v>1232300.3600000001</v>
      </c>
    </row>
    <row r="30" spans="1:15" s="13" customFormat="1" ht="15" thickBot="1" x14ac:dyDescent="0.25">
      <c r="A30" s="36" t="s">
        <v>89</v>
      </c>
      <c r="B30" s="37" t="s">
        <v>66</v>
      </c>
      <c r="C30" s="20"/>
      <c r="D30" s="20"/>
      <c r="E30" s="21"/>
      <c r="F30" s="21"/>
      <c r="G30" s="66"/>
      <c r="H30" s="20"/>
      <c r="I30" s="20"/>
      <c r="J30" s="20"/>
      <c r="K30" s="20"/>
      <c r="L30" s="20"/>
      <c r="M30" s="20"/>
      <c r="N30" s="55"/>
    </row>
    <row r="31" spans="1:15" s="13" customFormat="1" ht="14.25" customHeight="1" x14ac:dyDescent="0.2">
      <c r="A31" s="85"/>
      <c r="B31" s="88" t="s">
        <v>61</v>
      </c>
      <c r="C31" s="159">
        <f>SUM(C32:C34)</f>
        <v>2302.933</v>
      </c>
      <c r="D31" s="159">
        <f t="shared" ref="D31:N31" si="5">SUM(D32:D34)</f>
        <v>2500.0129999999999</v>
      </c>
      <c r="E31" s="160">
        <f t="shared" si="5"/>
        <v>2508.683</v>
      </c>
      <c r="F31" s="160">
        <f t="shared" si="5"/>
        <v>2473.0129999999999</v>
      </c>
      <c r="G31" s="160">
        <f t="shared" si="5"/>
        <v>2450.7829999999999</v>
      </c>
      <c r="H31" s="160">
        <f t="shared" si="5"/>
        <v>2461.8130000000001</v>
      </c>
      <c r="I31" s="160">
        <f t="shared" si="5"/>
        <v>2717.4830000000002</v>
      </c>
      <c r="J31" s="160">
        <f t="shared" si="5"/>
        <v>2744.0430000000001</v>
      </c>
      <c r="K31" s="160">
        <f t="shared" si="5"/>
        <v>2692.7930000000001</v>
      </c>
      <c r="L31" s="160">
        <f t="shared" si="5"/>
        <v>2753.7235300365251</v>
      </c>
      <c r="M31" s="160">
        <f t="shared" si="5"/>
        <v>2806.6035300365252</v>
      </c>
      <c r="N31" s="161">
        <f t="shared" si="5"/>
        <v>2757.743530036525</v>
      </c>
    </row>
    <row r="32" spans="1:15" s="13" customFormat="1" x14ac:dyDescent="0.2">
      <c r="A32" s="25"/>
      <c r="B32" s="89" t="s">
        <v>113</v>
      </c>
      <c r="C32" s="101">
        <v>2190.75</v>
      </c>
      <c r="D32" s="101">
        <v>2387.83</v>
      </c>
      <c r="E32" s="102">
        <v>2396.5</v>
      </c>
      <c r="F32" s="102">
        <v>2360.83</v>
      </c>
      <c r="G32" s="157">
        <v>2338.6</v>
      </c>
      <c r="H32" s="101">
        <v>2349.63</v>
      </c>
      <c r="I32" s="101">
        <v>2605.3000000000002</v>
      </c>
      <c r="J32" s="101">
        <v>2631.86</v>
      </c>
      <c r="K32" s="101">
        <v>2580.61</v>
      </c>
      <c r="L32" s="101">
        <v>2625.93</v>
      </c>
      <c r="M32" s="101">
        <v>2678.81</v>
      </c>
      <c r="N32" s="158">
        <v>2629.95</v>
      </c>
    </row>
    <row r="33" spans="1:15" s="13" customFormat="1" x14ac:dyDescent="0.2">
      <c r="A33" s="40"/>
      <c r="B33" s="90" t="s">
        <v>9</v>
      </c>
      <c r="C33" s="114">
        <v>106.82</v>
      </c>
      <c r="D33" s="114">
        <v>106.82</v>
      </c>
      <c r="E33" s="115">
        <v>106.82</v>
      </c>
      <c r="F33" s="115">
        <v>106.82</v>
      </c>
      <c r="G33" s="121">
        <v>106.82</v>
      </c>
      <c r="H33" s="115">
        <v>106.82</v>
      </c>
      <c r="I33" s="115">
        <v>106.82</v>
      </c>
      <c r="J33" s="115">
        <v>106.82</v>
      </c>
      <c r="K33" s="115">
        <v>106.82</v>
      </c>
      <c r="L33" s="115">
        <v>121.67</v>
      </c>
      <c r="M33" s="115">
        <v>121.67</v>
      </c>
      <c r="N33" s="122">
        <v>121.67</v>
      </c>
    </row>
    <row r="34" spans="1:15" s="13" customFormat="1" x14ac:dyDescent="0.2">
      <c r="A34" s="81"/>
      <c r="B34" s="91" t="s">
        <v>42</v>
      </c>
      <c r="C34" s="106">
        <f t="shared" ref="C34:N34" si="6">C17</f>
        <v>5.3629999999999995</v>
      </c>
      <c r="D34" s="106">
        <f t="shared" si="6"/>
        <v>5.3629999999999995</v>
      </c>
      <c r="E34" s="107">
        <f t="shared" si="6"/>
        <v>5.3629999999999995</v>
      </c>
      <c r="F34" s="107">
        <f t="shared" si="6"/>
        <v>5.3629999999999995</v>
      </c>
      <c r="G34" s="108">
        <f t="shared" si="6"/>
        <v>5.3629999999999995</v>
      </c>
      <c r="H34" s="106">
        <f t="shared" si="6"/>
        <v>5.3629999999999995</v>
      </c>
      <c r="I34" s="106">
        <f t="shared" si="6"/>
        <v>5.3629999999999995</v>
      </c>
      <c r="J34" s="106">
        <f t="shared" si="6"/>
        <v>5.3629999999999995</v>
      </c>
      <c r="K34" s="106">
        <f t="shared" si="6"/>
        <v>5.3629999999999995</v>
      </c>
      <c r="L34" s="106">
        <f t="shared" si="6"/>
        <v>6.1235300365250511</v>
      </c>
      <c r="M34" s="106">
        <f t="shared" si="6"/>
        <v>6.1235300365250511</v>
      </c>
      <c r="N34" s="109">
        <f t="shared" si="6"/>
        <v>6.1235300365250511</v>
      </c>
    </row>
    <row r="35" spans="1:15" s="13" customFormat="1" ht="25.5" x14ac:dyDescent="0.2">
      <c r="A35" s="82"/>
      <c r="B35" s="87" t="s">
        <v>118</v>
      </c>
      <c r="C35" s="119">
        <f>SUM(C36:C37)</f>
        <v>1063691.4400000002</v>
      </c>
      <c r="D35" s="119">
        <f t="shared" ref="D35:N35" si="7">SUM(D36:D37)</f>
        <v>1007002.78</v>
      </c>
      <c r="E35" s="120">
        <f t="shared" si="7"/>
        <v>1062450.8899999999</v>
      </c>
      <c r="F35" s="120">
        <f t="shared" si="7"/>
        <v>1056190.19</v>
      </c>
      <c r="G35" s="119">
        <f t="shared" si="7"/>
        <v>1227142.22</v>
      </c>
      <c r="H35" s="119">
        <f t="shared" si="7"/>
        <v>1197387.5999999999</v>
      </c>
      <c r="I35" s="119">
        <f t="shared" si="7"/>
        <v>1200392.96</v>
      </c>
      <c r="J35" s="119">
        <f t="shared" si="7"/>
        <v>1192228.79</v>
      </c>
      <c r="K35" s="119">
        <f t="shared" si="7"/>
        <v>1192669.18</v>
      </c>
      <c r="L35" s="119">
        <f t="shared" si="7"/>
        <v>1225813.8399999999</v>
      </c>
      <c r="M35" s="119">
        <f t="shared" si="7"/>
        <v>1234126.6700000002</v>
      </c>
      <c r="N35" s="118">
        <f t="shared" si="7"/>
        <v>1233361.28</v>
      </c>
    </row>
    <row r="36" spans="1:15" s="13" customFormat="1" ht="25.5" x14ac:dyDescent="0.2">
      <c r="A36" s="178"/>
      <c r="B36" s="91" t="s">
        <v>116</v>
      </c>
      <c r="C36" s="146">
        <v>850.58</v>
      </c>
      <c r="D36" s="146">
        <v>1150.1400000000001</v>
      </c>
      <c r="E36" s="99">
        <v>1178.98</v>
      </c>
      <c r="F36" s="99">
        <v>1377.28</v>
      </c>
      <c r="G36" s="147">
        <v>1386.94</v>
      </c>
      <c r="H36" s="146">
        <v>1354.18</v>
      </c>
      <c r="I36" s="146">
        <v>1251.6600000000001</v>
      </c>
      <c r="J36" s="146">
        <v>1551.11</v>
      </c>
      <c r="K36" s="146">
        <v>1608.71</v>
      </c>
      <c r="L36" s="146">
        <v>1250.6400000000001</v>
      </c>
      <c r="M36" s="146">
        <v>1067.3599999999999</v>
      </c>
      <c r="N36" s="158">
        <v>1060.92</v>
      </c>
    </row>
    <row r="37" spans="1:15" s="13" customFormat="1" ht="25.5" x14ac:dyDescent="0.2">
      <c r="A37" s="198"/>
      <c r="B37" s="90" t="s">
        <v>117</v>
      </c>
      <c r="C37" s="146">
        <v>1062840.8600000001</v>
      </c>
      <c r="D37" s="146">
        <v>1005852.64</v>
      </c>
      <c r="E37" s="99">
        <v>1061271.9099999999</v>
      </c>
      <c r="F37" s="99">
        <v>1054812.9099999999</v>
      </c>
      <c r="G37" s="147">
        <v>1225755.28</v>
      </c>
      <c r="H37" s="146">
        <v>1196033.42</v>
      </c>
      <c r="I37" s="146">
        <v>1199141.3</v>
      </c>
      <c r="J37" s="146">
        <v>1190677.68</v>
      </c>
      <c r="K37" s="146">
        <v>1191060.47</v>
      </c>
      <c r="L37" s="146">
        <v>1224563.2</v>
      </c>
      <c r="M37" s="146">
        <v>1233059.31</v>
      </c>
      <c r="N37" s="148">
        <v>1232300.3600000001</v>
      </c>
    </row>
    <row r="38" spans="1:15" s="13" customFormat="1" ht="26.25" thickBot="1" x14ac:dyDescent="0.25">
      <c r="A38" s="41"/>
      <c r="B38" s="93" t="s">
        <v>65</v>
      </c>
      <c r="C38" s="129">
        <f>C21</f>
        <v>1067251.07</v>
      </c>
      <c r="D38" s="129">
        <f t="shared" ref="D38:N38" si="8">D21</f>
        <v>1067251.07</v>
      </c>
      <c r="E38" s="130">
        <f t="shared" si="8"/>
        <v>1067251.07</v>
      </c>
      <c r="F38" s="130">
        <f t="shared" si="8"/>
        <v>1067251.07</v>
      </c>
      <c r="G38" s="133">
        <f t="shared" si="8"/>
        <v>1067251.07</v>
      </c>
      <c r="H38" s="129">
        <f t="shared" si="8"/>
        <v>1067251.07</v>
      </c>
      <c r="I38" s="129">
        <f t="shared" si="8"/>
        <v>1067251.07</v>
      </c>
      <c r="J38" s="129">
        <f t="shared" si="8"/>
        <v>1067251.07</v>
      </c>
      <c r="K38" s="129">
        <f t="shared" si="8"/>
        <v>1067251.07</v>
      </c>
      <c r="L38" s="129">
        <f t="shared" si="8"/>
        <v>1241212.99</v>
      </c>
      <c r="M38" s="129">
        <f t="shared" si="8"/>
        <v>1241212.99</v>
      </c>
      <c r="N38" s="134">
        <f t="shared" si="8"/>
        <v>1241212.99</v>
      </c>
    </row>
    <row r="39" spans="1:15" s="17" customFormat="1" ht="26.25" thickBot="1" x14ac:dyDescent="0.25">
      <c r="A39" s="18" t="s">
        <v>90</v>
      </c>
      <c r="B39" s="78" t="s">
        <v>68</v>
      </c>
      <c r="C39" s="20"/>
      <c r="D39" s="20"/>
      <c r="E39" s="21"/>
      <c r="F39" s="21"/>
      <c r="G39" s="63"/>
      <c r="H39" s="21"/>
      <c r="I39" s="21"/>
      <c r="J39" s="21"/>
      <c r="K39" s="21"/>
      <c r="L39" s="21"/>
      <c r="M39" s="21"/>
      <c r="N39" s="22"/>
      <c r="O39" s="61"/>
    </row>
    <row r="40" spans="1:15" s="13" customFormat="1" ht="15" customHeight="1" x14ac:dyDescent="0.2">
      <c r="A40" s="80"/>
      <c r="B40" s="86" t="s">
        <v>61</v>
      </c>
      <c r="C40" s="155">
        <f>SUM(C41:C44)</f>
        <v>2402.0378570849998</v>
      </c>
      <c r="D40" s="155">
        <f t="shared" ref="D40:N40" si="9">SUM(D41:D44)</f>
        <v>2599.1178570849997</v>
      </c>
      <c r="E40" s="156">
        <f t="shared" si="9"/>
        <v>2607.7878570849998</v>
      </c>
      <c r="F40" s="156">
        <f t="shared" si="9"/>
        <v>2572.1178570849997</v>
      </c>
      <c r="G40" s="156">
        <f t="shared" si="9"/>
        <v>2549.8878570849997</v>
      </c>
      <c r="H40" s="156">
        <f t="shared" si="9"/>
        <v>2560.9178570849999</v>
      </c>
      <c r="I40" s="156">
        <f t="shared" si="9"/>
        <v>2816.587857085</v>
      </c>
      <c r="J40" s="156">
        <f t="shared" si="9"/>
        <v>2843.1478570849999</v>
      </c>
      <c r="K40" s="156">
        <f t="shared" si="9"/>
        <v>2791.8978570849999</v>
      </c>
      <c r="L40" s="156">
        <f t="shared" si="9"/>
        <v>2868.6851560365249</v>
      </c>
      <c r="M40" s="156">
        <f t="shared" si="9"/>
        <v>2921.565156036525</v>
      </c>
      <c r="N40" s="156">
        <f t="shared" si="9"/>
        <v>2872.7051560365248</v>
      </c>
      <c r="O40" s="61"/>
    </row>
    <row r="41" spans="1:15" s="13" customFormat="1" ht="15" customHeight="1" x14ac:dyDescent="0.2">
      <c r="A41" s="29"/>
      <c r="B41" s="89" t="s">
        <v>113</v>
      </c>
      <c r="C41" s="101">
        <v>2190.75</v>
      </c>
      <c r="D41" s="101">
        <v>2387.83</v>
      </c>
      <c r="E41" s="102">
        <v>2396.5</v>
      </c>
      <c r="F41" s="102">
        <v>2360.83</v>
      </c>
      <c r="G41" s="157">
        <v>2338.6</v>
      </c>
      <c r="H41" s="101">
        <v>2349.63</v>
      </c>
      <c r="I41" s="101">
        <v>2605.3000000000002</v>
      </c>
      <c r="J41" s="101">
        <v>2631.86</v>
      </c>
      <c r="K41" s="101">
        <v>2580.61</v>
      </c>
      <c r="L41" s="101">
        <v>2625.93</v>
      </c>
      <c r="M41" s="101">
        <v>2678.81</v>
      </c>
      <c r="N41" s="158">
        <v>2629.95</v>
      </c>
      <c r="O41" s="61"/>
    </row>
    <row r="42" spans="1:15" s="13" customFormat="1" ht="15" customHeight="1" x14ac:dyDescent="0.2">
      <c r="A42" s="25"/>
      <c r="B42" s="90" t="s">
        <v>64</v>
      </c>
      <c r="C42" s="114">
        <v>99.104857084999992</v>
      </c>
      <c r="D42" s="114">
        <v>99.104857084999992</v>
      </c>
      <c r="E42" s="115">
        <v>99.104857084999992</v>
      </c>
      <c r="F42" s="115">
        <v>99.104857084999992</v>
      </c>
      <c r="G42" s="116">
        <v>99.104857084999992</v>
      </c>
      <c r="H42" s="114">
        <v>99.104857084999992</v>
      </c>
      <c r="I42" s="114">
        <v>99.104857084999992</v>
      </c>
      <c r="J42" s="114">
        <v>99.104857084999992</v>
      </c>
      <c r="K42" s="114">
        <v>99.104857084999992</v>
      </c>
      <c r="L42" s="114">
        <v>114.961626</v>
      </c>
      <c r="M42" s="114">
        <v>114.961626</v>
      </c>
      <c r="N42" s="117">
        <v>114.961626</v>
      </c>
      <c r="O42" s="61"/>
    </row>
    <row r="43" spans="1:15" s="13" customFormat="1" ht="15" customHeight="1" x14ac:dyDescent="0.2">
      <c r="A43" s="29"/>
      <c r="B43" s="89" t="s">
        <v>9</v>
      </c>
      <c r="C43" s="114">
        <v>106.82</v>
      </c>
      <c r="D43" s="114">
        <v>106.82</v>
      </c>
      <c r="E43" s="115">
        <v>106.82</v>
      </c>
      <c r="F43" s="115">
        <v>106.82</v>
      </c>
      <c r="G43" s="116">
        <v>106.82</v>
      </c>
      <c r="H43" s="114">
        <v>106.82</v>
      </c>
      <c r="I43" s="114">
        <v>106.82</v>
      </c>
      <c r="J43" s="114">
        <v>106.82</v>
      </c>
      <c r="K43" s="114">
        <v>106.82</v>
      </c>
      <c r="L43" s="114">
        <v>121.67</v>
      </c>
      <c r="M43" s="114">
        <v>121.67</v>
      </c>
      <c r="N43" s="117">
        <v>121.67</v>
      </c>
      <c r="O43" s="61"/>
    </row>
    <row r="44" spans="1:15" s="13" customFormat="1" x14ac:dyDescent="0.2">
      <c r="A44" s="81"/>
      <c r="B44" s="91" t="s">
        <v>42</v>
      </c>
      <c r="C44" s="106">
        <v>5.3629999999999995</v>
      </c>
      <c r="D44" s="106">
        <v>5.3629999999999995</v>
      </c>
      <c r="E44" s="107">
        <v>5.3629999999999995</v>
      </c>
      <c r="F44" s="107">
        <v>5.3629999999999995</v>
      </c>
      <c r="G44" s="108">
        <v>5.3629999999999995</v>
      </c>
      <c r="H44" s="106">
        <v>5.3629999999999995</v>
      </c>
      <c r="I44" s="106">
        <v>5.3629999999999995</v>
      </c>
      <c r="J44" s="106">
        <v>5.3629999999999995</v>
      </c>
      <c r="K44" s="106">
        <v>5.3629999999999995</v>
      </c>
      <c r="L44" s="106">
        <v>6.1235300365250511</v>
      </c>
      <c r="M44" s="106">
        <v>6.1235300365250511</v>
      </c>
      <c r="N44" s="109">
        <v>6.1235300365250511</v>
      </c>
      <c r="O44" s="61"/>
    </row>
    <row r="45" spans="1:15" s="13" customFormat="1" ht="25.5" x14ac:dyDescent="0.2">
      <c r="A45" s="82"/>
      <c r="B45" s="87" t="s">
        <v>118</v>
      </c>
      <c r="C45" s="119">
        <f>SUM(C46:C47)</f>
        <v>1063691.4400000002</v>
      </c>
      <c r="D45" s="119">
        <f t="shared" ref="D45:N45" si="10">SUM(D46:D47)</f>
        <v>1007002.78</v>
      </c>
      <c r="E45" s="120">
        <f t="shared" si="10"/>
        <v>1062450.8899999999</v>
      </c>
      <c r="F45" s="120">
        <f t="shared" si="10"/>
        <v>1056190.19</v>
      </c>
      <c r="G45" s="119">
        <f t="shared" si="10"/>
        <v>1227142.22</v>
      </c>
      <c r="H45" s="119">
        <f t="shared" si="10"/>
        <v>1197387.5999999999</v>
      </c>
      <c r="I45" s="119">
        <f t="shared" si="10"/>
        <v>1200392.96</v>
      </c>
      <c r="J45" s="119">
        <f t="shared" si="10"/>
        <v>1192228.79</v>
      </c>
      <c r="K45" s="119">
        <f t="shared" si="10"/>
        <v>1192669.18</v>
      </c>
      <c r="L45" s="119">
        <f t="shared" si="10"/>
        <v>1225813.8399999999</v>
      </c>
      <c r="M45" s="119">
        <f t="shared" si="10"/>
        <v>1234126.6700000002</v>
      </c>
      <c r="N45" s="118">
        <f t="shared" si="10"/>
        <v>1233361.28</v>
      </c>
    </row>
    <row r="46" spans="1:15" s="13" customFormat="1" ht="25.5" x14ac:dyDescent="0.2">
      <c r="A46" s="178"/>
      <c r="B46" s="91" t="s">
        <v>116</v>
      </c>
      <c r="C46" s="146">
        <v>850.58</v>
      </c>
      <c r="D46" s="146">
        <v>1150.1400000000001</v>
      </c>
      <c r="E46" s="99">
        <v>1178.98</v>
      </c>
      <c r="F46" s="99">
        <v>1377.28</v>
      </c>
      <c r="G46" s="147">
        <v>1386.94</v>
      </c>
      <c r="H46" s="146">
        <v>1354.18</v>
      </c>
      <c r="I46" s="146">
        <v>1251.6600000000001</v>
      </c>
      <c r="J46" s="146">
        <v>1551.11</v>
      </c>
      <c r="K46" s="146">
        <v>1608.71</v>
      </c>
      <c r="L46" s="146">
        <v>1250.6400000000001</v>
      </c>
      <c r="M46" s="146">
        <v>1067.3599999999999</v>
      </c>
      <c r="N46" s="158">
        <v>1060.92</v>
      </c>
    </row>
    <row r="47" spans="1:15" s="13" customFormat="1" ht="25.5" x14ac:dyDescent="0.2">
      <c r="A47" s="178"/>
      <c r="B47" s="90" t="s">
        <v>117</v>
      </c>
      <c r="C47" s="146">
        <v>1062840.8600000001</v>
      </c>
      <c r="D47" s="146">
        <v>1005852.64</v>
      </c>
      <c r="E47" s="99">
        <v>1061271.9099999999</v>
      </c>
      <c r="F47" s="99">
        <v>1054812.9099999999</v>
      </c>
      <c r="G47" s="147">
        <v>1225755.28</v>
      </c>
      <c r="H47" s="146">
        <v>1196033.42</v>
      </c>
      <c r="I47" s="146">
        <v>1199141.3</v>
      </c>
      <c r="J47" s="146">
        <v>1190677.68</v>
      </c>
      <c r="K47" s="146">
        <v>1191060.47</v>
      </c>
      <c r="L47" s="146">
        <v>1224563.2</v>
      </c>
      <c r="M47" s="101">
        <v>1233059.31</v>
      </c>
      <c r="N47" s="148">
        <v>1232300.3600000001</v>
      </c>
    </row>
    <row r="48" spans="1:15" s="13" customFormat="1" ht="26.25" thickBot="1" x14ac:dyDescent="0.25">
      <c r="A48" s="84"/>
      <c r="B48" s="191" t="s">
        <v>65</v>
      </c>
      <c r="C48" s="128">
        <v>322592.31</v>
      </c>
      <c r="D48" s="129">
        <v>322592.31</v>
      </c>
      <c r="E48" s="130">
        <v>322592.31</v>
      </c>
      <c r="F48" s="130">
        <v>322592.31</v>
      </c>
      <c r="G48" s="131">
        <v>322592.31</v>
      </c>
      <c r="H48" s="128">
        <v>322592.31</v>
      </c>
      <c r="I48" s="129">
        <v>322592.31</v>
      </c>
      <c r="J48" s="128">
        <v>322592.31</v>
      </c>
      <c r="K48" s="129">
        <v>322592.31</v>
      </c>
      <c r="L48" s="128">
        <v>374207.08</v>
      </c>
      <c r="M48" s="123">
        <v>374207.08</v>
      </c>
      <c r="N48" s="132">
        <v>374207.08</v>
      </c>
    </row>
    <row r="49" spans="1:15" s="17" customFormat="1" ht="26.25" thickBot="1" x14ac:dyDescent="0.25">
      <c r="A49" s="18" t="s">
        <v>91</v>
      </c>
      <c r="B49" s="78" t="s">
        <v>69</v>
      </c>
      <c r="C49" s="20"/>
      <c r="D49" s="20"/>
      <c r="E49" s="21"/>
      <c r="F49" s="21"/>
      <c r="G49" s="63"/>
      <c r="H49" s="21"/>
      <c r="I49" s="21"/>
      <c r="J49" s="21"/>
      <c r="K49" s="21"/>
      <c r="L49" s="21"/>
      <c r="M49" s="21"/>
      <c r="N49" s="22"/>
      <c r="O49" s="61"/>
    </row>
    <row r="50" spans="1:15" s="13" customFormat="1" ht="14.25" customHeight="1" x14ac:dyDescent="0.2">
      <c r="A50" s="83"/>
      <c r="B50" s="86" t="s">
        <v>61</v>
      </c>
      <c r="C50" s="155">
        <f>SUM(C51:C54)</f>
        <v>2367.3380132249999</v>
      </c>
      <c r="D50" s="155">
        <f t="shared" ref="D50:N50" si="11">SUM(D51:D54)</f>
        <v>2564.4180132249999</v>
      </c>
      <c r="E50" s="156">
        <f t="shared" si="11"/>
        <v>2573.0880132249999</v>
      </c>
      <c r="F50" s="156">
        <f t="shared" si="11"/>
        <v>2537.4180132249999</v>
      </c>
      <c r="G50" s="156">
        <f t="shared" si="11"/>
        <v>2515.1880132249998</v>
      </c>
      <c r="H50" s="156">
        <f t="shared" si="11"/>
        <v>2526.218013225</v>
      </c>
      <c r="I50" s="156">
        <f t="shared" si="11"/>
        <v>2781.8880132250001</v>
      </c>
      <c r="J50" s="156">
        <f t="shared" si="11"/>
        <v>2808.4480132250001</v>
      </c>
      <c r="K50" s="156">
        <f t="shared" si="11"/>
        <v>2757.1980132250001</v>
      </c>
      <c r="L50" s="156">
        <f t="shared" si="11"/>
        <v>2828.4333400365249</v>
      </c>
      <c r="M50" s="156">
        <f t="shared" si="11"/>
        <v>2881.313340036525</v>
      </c>
      <c r="N50" s="162">
        <f t="shared" si="11"/>
        <v>2832.4533400365249</v>
      </c>
      <c r="O50" s="61"/>
    </row>
    <row r="51" spans="1:15" s="13" customFormat="1" x14ac:dyDescent="0.2">
      <c r="A51" s="29"/>
      <c r="B51" s="89" t="s">
        <v>113</v>
      </c>
      <c r="C51" s="101">
        <v>2190.75</v>
      </c>
      <c r="D51" s="101">
        <v>2387.83</v>
      </c>
      <c r="E51" s="102">
        <v>2396.5</v>
      </c>
      <c r="F51" s="102">
        <v>2360.83</v>
      </c>
      <c r="G51" s="157">
        <v>2338.6</v>
      </c>
      <c r="H51" s="101">
        <v>2349.63</v>
      </c>
      <c r="I51" s="101">
        <v>2605.3000000000002</v>
      </c>
      <c r="J51" s="101">
        <v>2631.86</v>
      </c>
      <c r="K51" s="101">
        <v>2580.61</v>
      </c>
      <c r="L51" s="101">
        <v>2625.93</v>
      </c>
      <c r="M51" s="101">
        <v>2678.81</v>
      </c>
      <c r="N51" s="158">
        <v>2629.95</v>
      </c>
      <c r="O51" s="61"/>
    </row>
    <row r="52" spans="1:15" s="13" customFormat="1" x14ac:dyDescent="0.2">
      <c r="A52" s="25"/>
      <c r="B52" s="90" t="s">
        <v>64</v>
      </c>
      <c r="C52" s="114">
        <v>64.405013225000005</v>
      </c>
      <c r="D52" s="114">
        <v>64.405013225000005</v>
      </c>
      <c r="E52" s="115">
        <v>64.405013225000005</v>
      </c>
      <c r="F52" s="115">
        <v>64.405013225000005</v>
      </c>
      <c r="G52" s="116">
        <v>64.405013225000005</v>
      </c>
      <c r="H52" s="114">
        <v>64.405013225000005</v>
      </c>
      <c r="I52" s="114">
        <v>64.405013225000005</v>
      </c>
      <c r="J52" s="114">
        <v>64.405013225000005</v>
      </c>
      <c r="K52" s="114">
        <v>64.405013225000005</v>
      </c>
      <c r="L52" s="114">
        <v>74.709810000000004</v>
      </c>
      <c r="M52" s="114">
        <v>74.709810000000004</v>
      </c>
      <c r="N52" s="117">
        <v>74.709810000000004</v>
      </c>
      <c r="O52" s="61"/>
    </row>
    <row r="53" spans="1:15" s="13" customFormat="1" x14ac:dyDescent="0.2">
      <c r="A53" s="29"/>
      <c r="B53" s="89" t="s">
        <v>9</v>
      </c>
      <c r="C53" s="114">
        <v>106.82</v>
      </c>
      <c r="D53" s="114">
        <v>106.82</v>
      </c>
      <c r="E53" s="115">
        <v>106.82</v>
      </c>
      <c r="F53" s="115">
        <v>106.82</v>
      </c>
      <c r="G53" s="116">
        <v>106.82</v>
      </c>
      <c r="H53" s="114">
        <v>106.82</v>
      </c>
      <c r="I53" s="114">
        <v>106.82</v>
      </c>
      <c r="J53" s="114">
        <v>106.82</v>
      </c>
      <c r="K53" s="114">
        <v>106.82</v>
      </c>
      <c r="L53" s="114">
        <v>121.67</v>
      </c>
      <c r="M53" s="114">
        <v>121.67</v>
      </c>
      <c r="N53" s="117">
        <v>121.67</v>
      </c>
      <c r="O53" s="61"/>
    </row>
    <row r="54" spans="1:15" s="13" customFormat="1" x14ac:dyDescent="0.2">
      <c r="A54" s="81"/>
      <c r="B54" s="91" t="s">
        <v>42</v>
      </c>
      <c r="C54" s="106">
        <v>5.3629999999999995</v>
      </c>
      <c r="D54" s="106">
        <v>5.3629999999999995</v>
      </c>
      <c r="E54" s="107">
        <v>5.3629999999999995</v>
      </c>
      <c r="F54" s="107">
        <v>5.3629999999999995</v>
      </c>
      <c r="G54" s="108">
        <v>5.3629999999999995</v>
      </c>
      <c r="H54" s="106">
        <v>5.3629999999999995</v>
      </c>
      <c r="I54" s="106">
        <v>5.3629999999999995</v>
      </c>
      <c r="J54" s="106">
        <v>5.3629999999999995</v>
      </c>
      <c r="K54" s="106">
        <v>5.3629999999999995</v>
      </c>
      <c r="L54" s="106">
        <v>6.1235300365250511</v>
      </c>
      <c r="M54" s="106">
        <v>6.1235300365250511</v>
      </c>
      <c r="N54" s="109">
        <v>6.1235300365250511</v>
      </c>
      <c r="O54" s="61"/>
    </row>
    <row r="55" spans="1:15" s="13" customFormat="1" ht="25.5" x14ac:dyDescent="0.2">
      <c r="A55" s="82"/>
      <c r="B55" s="87" t="s">
        <v>118</v>
      </c>
      <c r="C55" s="119">
        <f>SUM(C56:C57)</f>
        <v>1063691.4400000002</v>
      </c>
      <c r="D55" s="119">
        <f t="shared" ref="D55:N55" si="12">SUM(D56:D57)</f>
        <v>1007002.78</v>
      </c>
      <c r="E55" s="120">
        <f t="shared" si="12"/>
        <v>1062450.8899999999</v>
      </c>
      <c r="F55" s="120">
        <f t="shared" si="12"/>
        <v>1056190.19</v>
      </c>
      <c r="G55" s="119">
        <f t="shared" si="12"/>
        <v>1227142.22</v>
      </c>
      <c r="H55" s="119">
        <f t="shared" si="12"/>
        <v>1197387.5999999999</v>
      </c>
      <c r="I55" s="119">
        <f t="shared" si="12"/>
        <v>1200392.96</v>
      </c>
      <c r="J55" s="119">
        <f t="shared" si="12"/>
        <v>1192228.79</v>
      </c>
      <c r="K55" s="119">
        <f t="shared" si="12"/>
        <v>1192669.18</v>
      </c>
      <c r="L55" s="119">
        <f t="shared" si="12"/>
        <v>1225813.8399999999</v>
      </c>
      <c r="M55" s="119">
        <f t="shared" si="12"/>
        <v>1234126.6700000002</v>
      </c>
      <c r="N55" s="118">
        <f t="shared" si="12"/>
        <v>1233361.28</v>
      </c>
    </row>
    <row r="56" spans="1:15" s="13" customFormat="1" ht="25.5" x14ac:dyDescent="0.2">
      <c r="A56" s="178"/>
      <c r="B56" s="91" t="s">
        <v>116</v>
      </c>
      <c r="C56" s="146">
        <v>850.58</v>
      </c>
      <c r="D56" s="146">
        <v>1150.1400000000001</v>
      </c>
      <c r="E56" s="99">
        <v>1178.98</v>
      </c>
      <c r="F56" s="99">
        <v>1377.28</v>
      </c>
      <c r="G56" s="147">
        <v>1386.94</v>
      </c>
      <c r="H56" s="146">
        <v>1354.18</v>
      </c>
      <c r="I56" s="146">
        <v>1251.6600000000001</v>
      </c>
      <c r="J56" s="146">
        <v>1551.11</v>
      </c>
      <c r="K56" s="146">
        <v>1608.71</v>
      </c>
      <c r="L56" s="146">
        <v>1250.6400000000001</v>
      </c>
      <c r="M56" s="146">
        <v>1067.3599999999999</v>
      </c>
      <c r="N56" s="158">
        <v>1060.92</v>
      </c>
    </row>
    <row r="57" spans="1:15" s="13" customFormat="1" ht="25.5" x14ac:dyDescent="0.2">
      <c r="A57" s="178"/>
      <c r="B57" s="90" t="s">
        <v>117</v>
      </c>
      <c r="C57" s="146">
        <v>1062840.8600000001</v>
      </c>
      <c r="D57" s="146">
        <v>1005852.64</v>
      </c>
      <c r="E57" s="99">
        <v>1061271.9099999999</v>
      </c>
      <c r="F57" s="99">
        <v>1054812.9099999999</v>
      </c>
      <c r="G57" s="147">
        <v>1225755.28</v>
      </c>
      <c r="H57" s="146">
        <v>1196033.42</v>
      </c>
      <c r="I57" s="146">
        <v>1199141.3</v>
      </c>
      <c r="J57" s="146">
        <v>1190677.68</v>
      </c>
      <c r="K57" s="146">
        <v>1191060.47</v>
      </c>
      <c r="L57" s="146">
        <v>1224563.2</v>
      </c>
      <c r="M57" s="101">
        <v>1233059.31</v>
      </c>
      <c r="N57" s="148">
        <v>1232300.3600000001</v>
      </c>
    </row>
    <row r="58" spans="1:15" s="13" customFormat="1" ht="26.25" thickBot="1" x14ac:dyDescent="0.25">
      <c r="A58" s="32"/>
      <c r="B58" s="93" t="s">
        <v>65</v>
      </c>
      <c r="C58" s="129">
        <v>322592.31</v>
      </c>
      <c r="D58" s="129">
        <v>322592.31</v>
      </c>
      <c r="E58" s="130">
        <v>322592.31</v>
      </c>
      <c r="F58" s="130">
        <v>322592.31</v>
      </c>
      <c r="G58" s="133">
        <v>322592.31</v>
      </c>
      <c r="H58" s="129">
        <v>322592.31</v>
      </c>
      <c r="I58" s="129">
        <v>322592.31</v>
      </c>
      <c r="J58" s="129">
        <v>322592.31</v>
      </c>
      <c r="K58" s="129">
        <v>322592.31</v>
      </c>
      <c r="L58" s="129">
        <v>374207.08</v>
      </c>
      <c r="M58" s="123">
        <v>374207.08</v>
      </c>
      <c r="N58" s="134">
        <v>374207.08</v>
      </c>
    </row>
    <row r="59" spans="1:15" s="13" customFormat="1" x14ac:dyDescent="0.2">
      <c r="A59" s="45"/>
      <c r="B59" s="95"/>
      <c r="C59" s="47"/>
      <c r="D59" s="47"/>
      <c r="E59" s="48"/>
      <c r="F59" s="48"/>
      <c r="G59" s="47"/>
      <c r="H59" s="47"/>
      <c r="I59" s="47"/>
      <c r="J59" s="47"/>
      <c r="K59" s="47"/>
      <c r="L59" s="47"/>
      <c r="M59" s="47"/>
      <c r="N59" s="47"/>
    </row>
    <row r="60" spans="1:15" s="13" customFormat="1" x14ac:dyDescent="0.2">
      <c r="A60" s="45"/>
      <c r="B60" s="95"/>
      <c r="C60" s="47"/>
      <c r="D60" s="47"/>
      <c r="E60" s="48"/>
      <c r="F60" s="48"/>
      <c r="G60" s="47"/>
      <c r="H60" s="47"/>
      <c r="I60" s="47"/>
      <c r="J60" s="47"/>
      <c r="K60" s="47"/>
      <c r="L60" s="47"/>
      <c r="M60" s="47"/>
      <c r="N60" s="47"/>
    </row>
    <row r="61" spans="1:15" s="59" customFormat="1" ht="21" customHeight="1" thickBot="1" x14ac:dyDescent="0.25">
      <c r="A61" s="7" t="s">
        <v>99</v>
      </c>
      <c r="B61" s="7"/>
      <c r="C61" s="7"/>
      <c r="D61" s="7"/>
      <c r="E61" s="7"/>
      <c r="F61" s="7"/>
      <c r="G61" s="5"/>
      <c r="H61" s="5"/>
      <c r="I61" s="5"/>
      <c r="J61" s="5"/>
      <c r="K61" s="5"/>
      <c r="L61" s="6"/>
      <c r="M61" s="6"/>
      <c r="N61" s="6"/>
    </row>
    <row r="62" spans="1:15" s="13" customFormat="1" ht="24" customHeight="1" thickBot="1" x14ac:dyDescent="0.25">
      <c r="A62" s="49" t="s">
        <v>0</v>
      </c>
      <c r="B62" s="50" t="s">
        <v>1</v>
      </c>
      <c r="C62" s="51" t="s">
        <v>17</v>
      </c>
      <c r="D62" s="51" t="s">
        <v>18</v>
      </c>
      <c r="E62" s="51" t="s">
        <v>19</v>
      </c>
      <c r="F62" s="51" t="s">
        <v>20</v>
      </c>
      <c r="G62" s="51" t="s">
        <v>21</v>
      </c>
      <c r="H62" s="51" t="s">
        <v>22</v>
      </c>
      <c r="I62" s="51" t="s">
        <v>23</v>
      </c>
      <c r="J62" s="51" t="s">
        <v>24</v>
      </c>
      <c r="K62" s="51" t="s">
        <v>25</v>
      </c>
      <c r="L62" s="51" t="s">
        <v>26</v>
      </c>
      <c r="M62" s="51" t="s">
        <v>27</v>
      </c>
      <c r="N62" s="52" t="s">
        <v>28</v>
      </c>
    </row>
    <row r="63" spans="1:15" s="17" customFormat="1" ht="21" customHeight="1" thickBot="1" x14ac:dyDescent="0.25">
      <c r="A63" s="14" t="s">
        <v>14</v>
      </c>
      <c r="B63" s="15" t="s">
        <v>5</v>
      </c>
      <c r="C63" s="135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2"/>
      <c r="O63" s="44"/>
    </row>
    <row r="64" spans="1:15" s="17" customFormat="1" ht="14.25" customHeight="1" thickBot="1" x14ac:dyDescent="0.25">
      <c r="A64" s="18" t="s">
        <v>15</v>
      </c>
      <c r="B64" s="78" t="s">
        <v>7</v>
      </c>
      <c r="C64" s="20"/>
      <c r="D64" s="20"/>
      <c r="E64" s="21"/>
      <c r="F64" s="21"/>
      <c r="G64" s="63"/>
      <c r="H64" s="21"/>
      <c r="I64" s="21"/>
      <c r="J64" s="21"/>
      <c r="K64" s="21"/>
      <c r="L64" s="21"/>
      <c r="M64" s="21"/>
      <c r="N64" s="22"/>
      <c r="O64" s="61"/>
    </row>
    <row r="65" spans="1:15" s="13" customFormat="1" ht="15" customHeight="1" x14ac:dyDescent="0.2">
      <c r="A65" s="80"/>
      <c r="B65" s="86" t="s">
        <v>61</v>
      </c>
      <c r="C65" s="155">
        <f>SUM(C66:C69)</f>
        <v>2543.9029999999998</v>
      </c>
      <c r="D65" s="155">
        <f t="shared" ref="D65:N65" si="13">SUM(D66:D69)</f>
        <v>2740.9829999999997</v>
      </c>
      <c r="E65" s="156">
        <f t="shared" si="13"/>
        <v>2749.6529999999998</v>
      </c>
      <c r="F65" s="156">
        <f t="shared" si="13"/>
        <v>2713.9829999999997</v>
      </c>
      <c r="G65" s="156">
        <f t="shared" si="13"/>
        <v>2691.7529999999997</v>
      </c>
      <c r="H65" s="156">
        <f t="shared" si="13"/>
        <v>2702.7829999999999</v>
      </c>
      <c r="I65" s="156">
        <f t="shared" si="13"/>
        <v>2958.453</v>
      </c>
      <c r="J65" s="156">
        <f t="shared" si="13"/>
        <v>2985.0129999999999</v>
      </c>
      <c r="K65" s="156">
        <f t="shared" si="13"/>
        <v>2933.7629999999999</v>
      </c>
      <c r="L65" s="156">
        <f t="shared" si="13"/>
        <v>3031.323530036525</v>
      </c>
      <c r="M65" s="156">
        <f t="shared" si="13"/>
        <v>3084.2035300365251</v>
      </c>
      <c r="N65" s="156">
        <f t="shared" si="13"/>
        <v>3035.343530036525</v>
      </c>
      <c r="O65" s="61"/>
    </row>
    <row r="66" spans="1:15" s="13" customFormat="1" ht="15" customHeight="1" x14ac:dyDescent="0.2">
      <c r="A66" s="29"/>
      <c r="B66" s="89" t="s">
        <v>113</v>
      </c>
      <c r="C66" s="101">
        <v>2190.75</v>
      </c>
      <c r="D66" s="101">
        <v>2387.83</v>
      </c>
      <c r="E66" s="102">
        <v>2396.5</v>
      </c>
      <c r="F66" s="102">
        <v>2360.83</v>
      </c>
      <c r="G66" s="157">
        <v>2338.6</v>
      </c>
      <c r="H66" s="101">
        <v>2349.63</v>
      </c>
      <c r="I66" s="101">
        <v>2605.3000000000002</v>
      </c>
      <c r="J66" s="101">
        <v>2631.86</v>
      </c>
      <c r="K66" s="101">
        <v>2580.61</v>
      </c>
      <c r="L66" s="101">
        <v>2625.93</v>
      </c>
      <c r="M66" s="101">
        <v>2678.81</v>
      </c>
      <c r="N66" s="158">
        <v>2629.95</v>
      </c>
      <c r="O66" s="61"/>
    </row>
    <row r="67" spans="1:15" s="13" customFormat="1" ht="15" customHeight="1" x14ac:dyDescent="0.2">
      <c r="A67" s="25"/>
      <c r="B67" s="90" t="s">
        <v>64</v>
      </c>
      <c r="C67" s="114">
        <v>240.97</v>
      </c>
      <c r="D67" s="114">
        <v>240.97</v>
      </c>
      <c r="E67" s="115">
        <v>240.97</v>
      </c>
      <c r="F67" s="115">
        <v>240.97</v>
      </c>
      <c r="G67" s="116">
        <v>240.97</v>
      </c>
      <c r="H67" s="114">
        <v>240.97</v>
      </c>
      <c r="I67" s="114">
        <v>240.97</v>
      </c>
      <c r="J67" s="114">
        <v>240.97</v>
      </c>
      <c r="K67" s="114">
        <v>240.97</v>
      </c>
      <c r="L67" s="114">
        <v>277.60000000000002</v>
      </c>
      <c r="M67" s="114">
        <v>277.60000000000002</v>
      </c>
      <c r="N67" s="117">
        <v>277.60000000000002</v>
      </c>
      <c r="O67" s="61"/>
    </row>
    <row r="68" spans="1:15" s="13" customFormat="1" ht="15" customHeight="1" x14ac:dyDescent="0.2">
      <c r="A68" s="29"/>
      <c r="B68" s="89" t="s">
        <v>9</v>
      </c>
      <c r="C68" s="114">
        <v>106.82</v>
      </c>
      <c r="D68" s="114">
        <v>106.82</v>
      </c>
      <c r="E68" s="115">
        <v>106.82</v>
      </c>
      <c r="F68" s="115">
        <v>106.82</v>
      </c>
      <c r="G68" s="116">
        <v>106.82</v>
      </c>
      <c r="H68" s="114">
        <v>106.82</v>
      </c>
      <c r="I68" s="114">
        <v>106.82</v>
      </c>
      <c r="J68" s="114">
        <v>106.82</v>
      </c>
      <c r="K68" s="114">
        <v>106.82</v>
      </c>
      <c r="L68" s="114">
        <v>121.67</v>
      </c>
      <c r="M68" s="114">
        <v>121.67</v>
      </c>
      <c r="N68" s="117">
        <v>121.67</v>
      </c>
      <c r="O68" s="61"/>
    </row>
    <row r="69" spans="1:15" s="13" customFormat="1" x14ac:dyDescent="0.2">
      <c r="A69" s="81"/>
      <c r="B69" s="91" t="s">
        <v>42</v>
      </c>
      <c r="C69" s="106">
        <v>5.3629999999999995</v>
      </c>
      <c r="D69" s="106">
        <v>5.3629999999999995</v>
      </c>
      <c r="E69" s="107">
        <v>5.3629999999999995</v>
      </c>
      <c r="F69" s="107">
        <v>5.3629999999999995</v>
      </c>
      <c r="G69" s="108">
        <v>5.3629999999999995</v>
      </c>
      <c r="H69" s="106">
        <v>5.3629999999999995</v>
      </c>
      <c r="I69" s="106">
        <v>5.3629999999999995</v>
      </c>
      <c r="J69" s="106">
        <v>5.3629999999999995</v>
      </c>
      <c r="K69" s="106">
        <v>5.3629999999999995</v>
      </c>
      <c r="L69" s="106">
        <v>6.1235300365250511</v>
      </c>
      <c r="M69" s="106">
        <v>6.1235300365250511</v>
      </c>
      <c r="N69" s="109">
        <v>6.1235300365250511</v>
      </c>
      <c r="O69" s="61"/>
    </row>
    <row r="70" spans="1:15" s="13" customFormat="1" ht="25.5" x14ac:dyDescent="0.2">
      <c r="A70" s="82"/>
      <c r="B70" s="87" t="s">
        <v>118</v>
      </c>
      <c r="C70" s="119">
        <f>SUM(C71:C72)</f>
        <v>1063691.4400000002</v>
      </c>
      <c r="D70" s="119">
        <f t="shared" ref="D70:N70" si="14">SUM(D71:D72)</f>
        <v>1007002.78</v>
      </c>
      <c r="E70" s="120">
        <f t="shared" si="14"/>
        <v>1062450.8899999999</v>
      </c>
      <c r="F70" s="120">
        <f t="shared" si="14"/>
        <v>1056190.19</v>
      </c>
      <c r="G70" s="119">
        <f t="shared" si="14"/>
        <v>1227142.22</v>
      </c>
      <c r="H70" s="119">
        <f t="shared" si="14"/>
        <v>1197387.5999999999</v>
      </c>
      <c r="I70" s="119">
        <f t="shared" si="14"/>
        <v>1200392.96</v>
      </c>
      <c r="J70" s="119">
        <f t="shared" si="14"/>
        <v>1192228.79</v>
      </c>
      <c r="K70" s="119">
        <f t="shared" si="14"/>
        <v>1192669.18</v>
      </c>
      <c r="L70" s="119">
        <f t="shared" si="14"/>
        <v>1225813.8399999999</v>
      </c>
      <c r="M70" s="119">
        <f t="shared" si="14"/>
        <v>1234126.6700000002</v>
      </c>
      <c r="N70" s="118">
        <f t="shared" si="14"/>
        <v>1233361.28</v>
      </c>
    </row>
    <row r="71" spans="1:15" s="13" customFormat="1" ht="25.5" x14ac:dyDescent="0.2">
      <c r="A71" s="178"/>
      <c r="B71" s="91" t="s">
        <v>116</v>
      </c>
      <c r="C71" s="146">
        <v>850.58</v>
      </c>
      <c r="D71" s="146">
        <v>1150.1400000000001</v>
      </c>
      <c r="E71" s="99">
        <v>1178.98</v>
      </c>
      <c r="F71" s="99">
        <v>1377.28</v>
      </c>
      <c r="G71" s="147">
        <v>1386.94</v>
      </c>
      <c r="H71" s="146">
        <v>1354.18</v>
      </c>
      <c r="I71" s="146">
        <v>1251.6600000000001</v>
      </c>
      <c r="J71" s="146">
        <v>1551.11</v>
      </c>
      <c r="K71" s="146">
        <v>1608.71</v>
      </c>
      <c r="L71" s="146">
        <v>1250.6400000000001</v>
      </c>
      <c r="M71" s="146">
        <v>1067.3599999999999</v>
      </c>
      <c r="N71" s="158">
        <v>1060.92</v>
      </c>
    </row>
    <row r="72" spans="1:15" s="13" customFormat="1" ht="25.5" x14ac:dyDescent="0.2">
      <c r="A72" s="178"/>
      <c r="B72" s="90" t="s">
        <v>117</v>
      </c>
      <c r="C72" s="146">
        <v>1062840.8600000001</v>
      </c>
      <c r="D72" s="146">
        <v>1005852.64</v>
      </c>
      <c r="E72" s="99">
        <v>1061271.9099999999</v>
      </c>
      <c r="F72" s="99">
        <v>1054812.9099999999</v>
      </c>
      <c r="G72" s="147">
        <v>1225755.28</v>
      </c>
      <c r="H72" s="146">
        <v>1196033.42</v>
      </c>
      <c r="I72" s="146">
        <v>1199141.3</v>
      </c>
      <c r="J72" s="146">
        <v>1190677.68</v>
      </c>
      <c r="K72" s="146">
        <v>1191060.47</v>
      </c>
      <c r="L72" s="146">
        <v>1224563.2</v>
      </c>
      <c r="M72" s="101">
        <v>1233059.31</v>
      </c>
      <c r="N72" s="148">
        <v>1232300.3600000001</v>
      </c>
    </row>
    <row r="73" spans="1:15" s="13" customFormat="1" ht="26.25" thickBot="1" x14ac:dyDescent="0.25">
      <c r="A73" s="84"/>
      <c r="B73" s="191" t="s">
        <v>65</v>
      </c>
      <c r="C73" s="128">
        <v>1453322.29</v>
      </c>
      <c r="D73" s="129">
        <v>1453322.29</v>
      </c>
      <c r="E73" s="130">
        <v>1453322.29</v>
      </c>
      <c r="F73" s="130">
        <v>1453322.29</v>
      </c>
      <c r="G73" s="131">
        <v>1453322.29</v>
      </c>
      <c r="H73" s="128">
        <v>1453322.29</v>
      </c>
      <c r="I73" s="129">
        <v>1453322.29</v>
      </c>
      <c r="J73" s="128">
        <v>1453322.29</v>
      </c>
      <c r="K73" s="129">
        <v>1453322.29</v>
      </c>
      <c r="L73" s="128">
        <v>1748346.71</v>
      </c>
      <c r="M73" s="123">
        <v>1748346.71</v>
      </c>
      <c r="N73" s="132">
        <v>1748346.71</v>
      </c>
    </row>
    <row r="74" spans="1:15" s="13" customFormat="1" ht="26.25" thickBot="1" x14ac:dyDescent="0.25">
      <c r="A74" s="36" t="s">
        <v>16</v>
      </c>
      <c r="B74" s="37" t="s">
        <v>11</v>
      </c>
      <c r="C74" s="20"/>
      <c r="D74" s="20"/>
      <c r="E74" s="21"/>
      <c r="F74" s="21"/>
      <c r="G74" s="66"/>
      <c r="H74" s="20"/>
      <c r="I74" s="20"/>
      <c r="J74" s="20"/>
      <c r="K74" s="20"/>
      <c r="L74" s="20"/>
      <c r="M74" s="20"/>
      <c r="N74" s="55"/>
    </row>
    <row r="75" spans="1:15" s="13" customFormat="1" ht="14.25" customHeight="1" x14ac:dyDescent="0.2">
      <c r="A75" s="85"/>
      <c r="B75" s="88" t="s">
        <v>61</v>
      </c>
      <c r="C75" s="159">
        <f>SUM(C76:C78)</f>
        <v>2302.933</v>
      </c>
      <c r="D75" s="159">
        <f t="shared" ref="D75:N75" si="15">SUM(D76:D78)</f>
        <v>2500.0129999999999</v>
      </c>
      <c r="E75" s="160">
        <f t="shared" si="15"/>
        <v>2508.683</v>
      </c>
      <c r="F75" s="160">
        <f t="shared" si="15"/>
        <v>2473.0129999999999</v>
      </c>
      <c r="G75" s="160">
        <f t="shared" si="15"/>
        <v>2450.7829999999999</v>
      </c>
      <c r="H75" s="160">
        <f t="shared" si="15"/>
        <v>2461.8130000000001</v>
      </c>
      <c r="I75" s="160">
        <f t="shared" si="15"/>
        <v>2717.4830000000002</v>
      </c>
      <c r="J75" s="160">
        <f t="shared" si="15"/>
        <v>2744.0430000000001</v>
      </c>
      <c r="K75" s="160">
        <f t="shared" si="15"/>
        <v>2692.7930000000001</v>
      </c>
      <c r="L75" s="160">
        <f t="shared" si="15"/>
        <v>2753.7235300365251</v>
      </c>
      <c r="M75" s="160">
        <f t="shared" si="15"/>
        <v>2806.6035300365252</v>
      </c>
      <c r="N75" s="161">
        <f t="shared" si="15"/>
        <v>2757.743530036525</v>
      </c>
    </row>
    <row r="76" spans="1:15" s="13" customFormat="1" x14ac:dyDescent="0.2">
      <c r="A76" s="25"/>
      <c r="B76" s="89" t="s">
        <v>113</v>
      </c>
      <c r="C76" s="101">
        <f>C66</f>
        <v>2190.75</v>
      </c>
      <c r="D76" s="101">
        <f t="shared" ref="D76:N76" si="16">D66</f>
        <v>2387.83</v>
      </c>
      <c r="E76" s="102">
        <f t="shared" si="16"/>
        <v>2396.5</v>
      </c>
      <c r="F76" s="102">
        <f t="shared" si="16"/>
        <v>2360.83</v>
      </c>
      <c r="G76" s="157">
        <f t="shared" si="16"/>
        <v>2338.6</v>
      </c>
      <c r="H76" s="101">
        <f t="shared" si="16"/>
        <v>2349.63</v>
      </c>
      <c r="I76" s="101">
        <f t="shared" si="16"/>
        <v>2605.3000000000002</v>
      </c>
      <c r="J76" s="101">
        <f t="shared" si="16"/>
        <v>2631.86</v>
      </c>
      <c r="K76" s="101">
        <f t="shared" si="16"/>
        <v>2580.61</v>
      </c>
      <c r="L76" s="101">
        <f t="shared" si="16"/>
        <v>2625.93</v>
      </c>
      <c r="M76" s="101">
        <f t="shared" si="16"/>
        <v>2678.81</v>
      </c>
      <c r="N76" s="158">
        <f t="shared" si="16"/>
        <v>2629.95</v>
      </c>
    </row>
    <row r="77" spans="1:15" s="13" customFormat="1" x14ac:dyDescent="0.2">
      <c r="A77" s="40"/>
      <c r="B77" s="90" t="s">
        <v>9</v>
      </c>
      <c r="C77" s="114">
        <f t="shared" ref="C77:N77" si="17">C68</f>
        <v>106.82</v>
      </c>
      <c r="D77" s="114">
        <f t="shared" si="17"/>
        <v>106.82</v>
      </c>
      <c r="E77" s="115">
        <f t="shared" si="17"/>
        <v>106.82</v>
      </c>
      <c r="F77" s="115">
        <f t="shared" si="17"/>
        <v>106.82</v>
      </c>
      <c r="G77" s="121">
        <f t="shared" si="17"/>
        <v>106.82</v>
      </c>
      <c r="H77" s="115">
        <f t="shared" si="17"/>
        <v>106.82</v>
      </c>
      <c r="I77" s="115">
        <f t="shared" si="17"/>
        <v>106.82</v>
      </c>
      <c r="J77" s="115">
        <f t="shared" si="17"/>
        <v>106.82</v>
      </c>
      <c r="K77" s="115">
        <f t="shared" si="17"/>
        <v>106.82</v>
      </c>
      <c r="L77" s="115">
        <f t="shared" si="17"/>
        <v>121.67</v>
      </c>
      <c r="M77" s="115">
        <f t="shared" si="17"/>
        <v>121.67</v>
      </c>
      <c r="N77" s="122">
        <f t="shared" si="17"/>
        <v>121.67</v>
      </c>
    </row>
    <row r="78" spans="1:15" s="13" customFormat="1" x14ac:dyDescent="0.2">
      <c r="A78" s="81"/>
      <c r="B78" s="91" t="s">
        <v>42</v>
      </c>
      <c r="C78" s="106">
        <f t="shared" ref="C78:N78" si="18">C69</f>
        <v>5.3629999999999995</v>
      </c>
      <c r="D78" s="106">
        <f t="shared" si="18"/>
        <v>5.3629999999999995</v>
      </c>
      <c r="E78" s="107">
        <f t="shared" si="18"/>
        <v>5.3629999999999995</v>
      </c>
      <c r="F78" s="107">
        <f t="shared" si="18"/>
        <v>5.3629999999999995</v>
      </c>
      <c r="G78" s="108">
        <f t="shared" si="18"/>
        <v>5.3629999999999995</v>
      </c>
      <c r="H78" s="106">
        <f t="shared" si="18"/>
        <v>5.3629999999999995</v>
      </c>
      <c r="I78" s="106">
        <f t="shared" si="18"/>
        <v>5.3629999999999995</v>
      </c>
      <c r="J78" s="106">
        <f t="shared" si="18"/>
        <v>5.3629999999999995</v>
      </c>
      <c r="K78" s="106">
        <f t="shared" si="18"/>
        <v>5.3629999999999995</v>
      </c>
      <c r="L78" s="106">
        <f t="shared" si="18"/>
        <v>6.1235300365250511</v>
      </c>
      <c r="M78" s="106">
        <f t="shared" si="18"/>
        <v>6.1235300365250511</v>
      </c>
      <c r="N78" s="109">
        <f t="shared" si="18"/>
        <v>6.1235300365250511</v>
      </c>
    </row>
    <row r="79" spans="1:15" s="13" customFormat="1" ht="25.5" x14ac:dyDescent="0.2">
      <c r="A79" s="82"/>
      <c r="B79" s="87" t="s">
        <v>118</v>
      </c>
      <c r="C79" s="119">
        <f>SUM(C80:C81)</f>
        <v>1063691.4400000002</v>
      </c>
      <c r="D79" s="119">
        <f t="shared" ref="D79:N79" si="19">SUM(D80:D81)</f>
        <v>1007002.78</v>
      </c>
      <c r="E79" s="120">
        <f t="shared" si="19"/>
        <v>1062450.8899999999</v>
      </c>
      <c r="F79" s="120">
        <f t="shared" si="19"/>
        <v>1056190.19</v>
      </c>
      <c r="G79" s="119">
        <f t="shared" si="19"/>
        <v>1227142.22</v>
      </c>
      <c r="H79" s="119">
        <f t="shared" si="19"/>
        <v>1197387.5999999999</v>
      </c>
      <c r="I79" s="119">
        <f t="shared" si="19"/>
        <v>1200392.96</v>
      </c>
      <c r="J79" s="119">
        <f t="shared" si="19"/>
        <v>1192228.79</v>
      </c>
      <c r="K79" s="119">
        <f t="shared" si="19"/>
        <v>1192669.18</v>
      </c>
      <c r="L79" s="119">
        <f t="shared" si="19"/>
        <v>1225813.8399999999</v>
      </c>
      <c r="M79" s="119">
        <f t="shared" si="19"/>
        <v>1234126.6700000002</v>
      </c>
      <c r="N79" s="118">
        <f t="shared" si="19"/>
        <v>1233361.28</v>
      </c>
    </row>
    <row r="80" spans="1:15" s="13" customFormat="1" ht="25.5" x14ac:dyDescent="0.2">
      <c r="A80" s="178"/>
      <c r="B80" s="91" t="s">
        <v>116</v>
      </c>
      <c r="C80" s="146">
        <v>850.58</v>
      </c>
      <c r="D80" s="146">
        <v>1150.1400000000001</v>
      </c>
      <c r="E80" s="99">
        <v>1178.98</v>
      </c>
      <c r="F80" s="99">
        <v>1377.28</v>
      </c>
      <c r="G80" s="147">
        <v>1386.94</v>
      </c>
      <c r="H80" s="146">
        <v>1354.18</v>
      </c>
      <c r="I80" s="146">
        <v>1251.6600000000001</v>
      </c>
      <c r="J80" s="146">
        <v>1551.11</v>
      </c>
      <c r="K80" s="146">
        <v>1608.71</v>
      </c>
      <c r="L80" s="146">
        <v>1250.6400000000001</v>
      </c>
      <c r="M80" s="146">
        <v>1067.3599999999999</v>
      </c>
      <c r="N80" s="158">
        <v>1060.92</v>
      </c>
    </row>
    <row r="81" spans="1:15" s="13" customFormat="1" ht="26.25" thickBot="1" x14ac:dyDescent="0.25">
      <c r="A81" s="178"/>
      <c r="B81" s="90" t="s">
        <v>117</v>
      </c>
      <c r="C81" s="101">
        <v>1062840.8600000001</v>
      </c>
      <c r="D81" s="101">
        <v>1005852.64</v>
      </c>
      <c r="E81" s="102">
        <v>1061271.9099999999</v>
      </c>
      <c r="F81" s="102">
        <v>1054812.9099999999</v>
      </c>
      <c r="G81" s="157">
        <v>1225755.28</v>
      </c>
      <c r="H81" s="101">
        <v>1196033.42</v>
      </c>
      <c r="I81" s="101">
        <v>1199141.3</v>
      </c>
      <c r="J81" s="101">
        <v>1190677.68</v>
      </c>
      <c r="K81" s="101">
        <v>1191060.47</v>
      </c>
      <c r="L81" s="101">
        <v>1224563.2</v>
      </c>
      <c r="M81" s="101">
        <v>1233059.31</v>
      </c>
      <c r="N81" s="148">
        <v>1232300.3600000001</v>
      </c>
    </row>
    <row r="82" spans="1:15" s="13" customFormat="1" ht="15" thickBot="1" x14ac:dyDescent="0.25">
      <c r="A82" s="36" t="s">
        <v>67</v>
      </c>
      <c r="B82" s="37" t="s">
        <v>66</v>
      </c>
      <c r="C82" s="20"/>
      <c r="D82" s="20"/>
      <c r="E82" s="21"/>
      <c r="F82" s="21"/>
      <c r="G82" s="66"/>
      <c r="H82" s="20"/>
      <c r="I82" s="20"/>
      <c r="J82" s="20"/>
      <c r="K82" s="20"/>
      <c r="L82" s="20"/>
      <c r="M82" s="20"/>
      <c r="N82" s="55"/>
    </row>
    <row r="83" spans="1:15" s="13" customFormat="1" ht="14.25" customHeight="1" x14ac:dyDescent="0.2">
      <c r="A83" s="85"/>
      <c r="B83" s="88" t="s">
        <v>61</v>
      </c>
      <c r="C83" s="159">
        <f>SUM(C84:C86)</f>
        <v>2302.933</v>
      </c>
      <c r="D83" s="159">
        <f t="shared" ref="D83:N83" si="20">SUM(D84:D86)</f>
        <v>2500.0129999999999</v>
      </c>
      <c r="E83" s="160">
        <f t="shared" si="20"/>
        <v>2508.683</v>
      </c>
      <c r="F83" s="160">
        <f t="shared" si="20"/>
        <v>2473.0129999999999</v>
      </c>
      <c r="G83" s="160">
        <f t="shared" si="20"/>
        <v>2450.7829999999999</v>
      </c>
      <c r="H83" s="160">
        <f t="shared" si="20"/>
        <v>2461.8130000000001</v>
      </c>
      <c r="I83" s="160">
        <f t="shared" si="20"/>
        <v>2717.4830000000002</v>
      </c>
      <c r="J83" s="160">
        <f t="shared" si="20"/>
        <v>2744.0430000000001</v>
      </c>
      <c r="K83" s="160">
        <f t="shared" si="20"/>
        <v>2692.7930000000001</v>
      </c>
      <c r="L83" s="160">
        <f t="shared" si="20"/>
        <v>2753.7235300365251</v>
      </c>
      <c r="M83" s="160">
        <f t="shared" si="20"/>
        <v>2806.6035300365252</v>
      </c>
      <c r="N83" s="161">
        <f t="shared" si="20"/>
        <v>2757.743530036525</v>
      </c>
    </row>
    <row r="84" spans="1:15" s="13" customFormat="1" x14ac:dyDescent="0.2">
      <c r="A84" s="25"/>
      <c r="B84" s="89" t="s">
        <v>113</v>
      </c>
      <c r="C84" s="101">
        <f t="shared" ref="C84:N84" si="21">C66</f>
        <v>2190.75</v>
      </c>
      <c r="D84" s="101">
        <f t="shared" si="21"/>
        <v>2387.83</v>
      </c>
      <c r="E84" s="102">
        <f t="shared" si="21"/>
        <v>2396.5</v>
      </c>
      <c r="F84" s="102">
        <f t="shared" si="21"/>
        <v>2360.83</v>
      </c>
      <c r="G84" s="157">
        <f t="shared" si="21"/>
        <v>2338.6</v>
      </c>
      <c r="H84" s="101">
        <f t="shared" si="21"/>
        <v>2349.63</v>
      </c>
      <c r="I84" s="101">
        <f t="shared" si="21"/>
        <v>2605.3000000000002</v>
      </c>
      <c r="J84" s="101">
        <f t="shared" si="21"/>
        <v>2631.86</v>
      </c>
      <c r="K84" s="101">
        <f t="shared" si="21"/>
        <v>2580.61</v>
      </c>
      <c r="L84" s="101">
        <f t="shared" si="21"/>
        <v>2625.93</v>
      </c>
      <c r="M84" s="101">
        <f t="shared" si="21"/>
        <v>2678.81</v>
      </c>
      <c r="N84" s="158">
        <f t="shared" si="21"/>
        <v>2629.95</v>
      </c>
    </row>
    <row r="85" spans="1:15" s="13" customFormat="1" x14ac:dyDescent="0.2">
      <c r="A85" s="40"/>
      <c r="B85" s="90" t="s">
        <v>9</v>
      </c>
      <c r="C85" s="114">
        <f t="shared" ref="C85:N85" si="22">C68</f>
        <v>106.82</v>
      </c>
      <c r="D85" s="114">
        <f t="shared" si="22"/>
        <v>106.82</v>
      </c>
      <c r="E85" s="115">
        <f t="shared" si="22"/>
        <v>106.82</v>
      </c>
      <c r="F85" s="115">
        <f t="shared" si="22"/>
        <v>106.82</v>
      </c>
      <c r="G85" s="121">
        <f t="shared" si="22"/>
        <v>106.82</v>
      </c>
      <c r="H85" s="115">
        <f t="shared" si="22"/>
        <v>106.82</v>
      </c>
      <c r="I85" s="115">
        <f t="shared" si="22"/>
        <v>106.82</v>
      </c>
      <c r="J85" s="115">
        <f t="shared" si="22"/>
        <v>106.82</v>
      </c>
      <c r="K85" s="115">
        <f t="shared" si="22"/>
        <v>106.82</v>
      </c>
      <c r="L85" s="115">
        <f t="shared" si="22"/>
        <v>121.67</v>
      </c>
      <c r="M85" s="115">
        <f t="shared" si="22"/>
        <v>121.67</v>
      </c>
      <c r="N85" s="122">
        <f t="shared" si="22"/>
        <v>121.67</v>
      </c>
    </row>
    <row r="86" spans="1:15" s="13" customFormat="1" x14ac:dyDescent="0.2">
      <c r="A86" s="81"/>
      <c r="B86" s="91" t="s">
        <v>42</v>
      </c>
      <c r="C86" s="106">
        <f t="shared" ref="C86:N86" si="23">C69</f>
        <v>5.3629999999999995</v>
      </c>
      <c r="D86" s="106">
        <f t="shared" si="23"/>
        <v>5.3629999999999995</v>
      </c>
      <c r="E86" s="107">
        <f t="shared" si="23"/>
        <v>5.3629999999999995</v>
      </c>
      <c r="F86" s="107">
        <f t="shared" si="23"/>
        <v>5.3629999999999995</v>
      </c>
      <c r="G86" s="108">
        <f t="shared" si="23"/>
        <v>5.3629999999999995</v>
      </c>
      <c r="H86" s="106">
        <f t="shared" si="23"/>
        <v>5.3629999999999995</v>
      </c>
      <c r="I86" s="106">
        <f t="shared" si="23"/>
        <v>5.3629999999999995</v>
      </c>
      <c r="J86" s="106">
        <f t="shared" si="23"/>
        <v>5.3629999999999995</v>
      </c>
      <c r="K86" s="106">
        <f t="shared" si="23"/>
        <v>5.3629999999999995</v>
      </c>
      <c r="L86" s="106">
        <f t="shared" si="23"/>
        <v>6.1235300365250511</v>
      </c>
      <c r="M86" s="106">
        <f t="shared" si="23"/>
        <v>6.1235300365250511</v>
      </c>
      <c r="N86" s="109">
        <f t="shared" si="23"/>
        <v>6.1235300365250511</v>
      </c>
    </row>
    <row r="87" spans="1:15" s="13" customFormat="1" ht="25.5" x14ac:dyDescent="0.2">
      <c r="A87" s="82"/>
      <c r="B87" s="87" t="s">
        <v>118</v>
      </c>
      <c r="C87" s="119">
        <f>SUM(C88:C89)</f>
        <v>1063691.4400000002</v>
      </c>
      <c r="D87" s="119">
        <f t="shared" ref="D87:N87" si="24">SUM(D88:D89)</f>
        <v>1007002.78</v>
      </c>
      <c r="E87" s="120">
        <f t="shared" si="24"/>
        <v>1062450.8899999999</v>
      </c>
      <c r="F87" s="120">
        <f t="shared" si="24"/>
        <v>1056190.19</v>
      </c>
      <c r="G87" s="119">
        <f t="shared" si="24"/>
        <v>1227142.22</v>
      </c>
      <c r="H87" s="119">
        <f t="shared" si="24"/>
        <v>1197387.5999999999</v>
      </c>
      <c r="I87" s="119">
        <f t="shared" si="24"/>
        <v>1200392.96</v>
      </c>
      <c r="J87" s="119">
        <f t="shared" si="24"/>
        <v>1192228.79</v>
      </c>
      <c r="K87" s="119">
        <f t="shared" si="24"/>
        <v>1192669.18</v>
      </c>
      <c r="L87" s="119">
        <f t="shared" si="24"/>
        <v>1225813.8399999999</v>
      </c>
      <c r="M87" s="119">
        <f t="shared" si="24"/>
        <v>1234126.6700000002</v>
      </c>
      <c r="N87" s="118">
        <f t="shared" si="24"/>
        <v>1233361.28</v>
      </c>
    </row>
    <row r="88" spans="1:15" s="13" customFormat="1" ht="25.5" x14ac:dyDescent="0.2">
      <c r="A88" s="178"/>
      <c r="B88" s="91" t="s">
        <v>116</v>
      </c>
      <c r="C88" s="146">
        <v>850.58</v>
      </c>
      <c r="D88" s="146">
        <v>1150.1400000000001</v>
      </c>
      <c r="E88" s="99">
        <v>1178.98</v>
      </c>
      <c r="F88" s="99">
        <v>1377.28</v>
      </c>
      <c r="G88" s="147">
        <v>1386.94</v>
      </c>
      <c r="H88" s="146">
        <v>1354.18</v>
      </c>
      <c r="I88" s="146">
        <v>1251.6600000000001</v>
      </c>
      <c r="J88" s="146">
        <v>1551.11</v>
      </c>
      <c r="K88" s="146">
        <v>1608.71</v>
      </c>
      <c r="L88" s="146">
        <v>1250.6400000000001</v>
      </c>
      <c r="M88" s="146">
        <v>1067.3599999999999</v>
      </c>
      <c r="N88" s="158">
        <v>1060.92</v>
      </c>
    </row>
    <row r="89" spans="1:15" s="13" customFormat="1" ht="25.5" x14ac:dyDescent="0.2">
      <c r="A89" s="178"/>
      <c r="B89" s="90" t="s">
        <v>117</v>
      </c>
      <c r="C89" s="146">
        <v>1062840.8600000001</v>
      </c>
      <c r="D89" s="146">
        <v>1005852.64</v>
      </c>
      <c r="E89" s="99">
        <v>1061271.9099999999</v>
      </c>
      <c r="F89" s="99">
        <v>1054812.9099999999</v>
      </c>
      <c r="G89" s="147">
        <v>1225755.28</v>
      </c>
      <c r="H89" s="146">
        <v>1196033.42</v>
      </c>
      <c r="I89" s="146">
        <v>1199141.3</v>
      </c>
      <c r="J89" s="146">
        <v>1190677.68</v>
      </c>
      <c r="K89" s="146">
        <v>1191060.47</v>
      </c>
      <c r="L89" s="146">
        <v>1224563.2</v>
      </c>
      <c r="M89" s="146">
        <v>1233059.31</v>
      </c>
      <c r="N89" s="148">
        <v>1232300.3600000001</v>
      </c>
    </row>
    <row r="90" spans="1:15" s="13" customFormat="1" ht="26.25" thickBot="1" x14ac:dyDescent="0.25">
      <c r="A90" s="32"/>
      <c r="B90" s="93" t="s">
        <v>65</v>
      </c>
      <c r="C90" s="129">
        <f>C73</f>
        <v>1453322.29</v>
      </c>
      <c r="D90" s="129">
        <f t="shared" ref="D90:N90" si="25">D73</f>
        <v>1453322.29</v>
      </c>
      <c r="E90" s="130">
        <f t="shared" si="25"/>
        <v>1453322.29</v>
      </c>
      <c r="F90" s="130">
        <f t="shared" si="25"/>
        <v>1453322.29</v>
      </c>
      <c r="G90" s="133">
        <f t="shared" si="25"/>
        <v>1453322.29</v>
      </c>
      <c r="H90" s="129">
        <f t="shared" si="25"/>
        <v>1453322.29</v>
      </c>
      <c r="I90" s="129">
        <f t="shared" si="25"/>
        <v>1453322.29</v>
      </c>
      <c r="J90" s="129">
        <f t="shared" si="25"/>
        <v>1453322.29</v>
      </c>
      <c r="K90" s="129">
        <f t="shared" si="25"/>
        <v>1453322.29</v>
      </c>
      <c r="L90" s="129">
        <f t="shared" si="25"/>
        <v>1748346.71</v>
      </c>
      <c r="M90" s="129">
        <f t="shared" si="25"/>
        <v>1748346.71</v>
      </c>
      <c r="N90" s="134">
        <f t="shared" si="25"/>
        <v>1748346.71</v>
      </c>
    </row>
    <row r="91" spans="1:15" s="13" customFormat="1" x14ac:dyDescent="0.2">
      <c r="A91" s="45"/>
      <c r="B91" s="95"/>
      <c r="C91" s="96"/>
      <c r="D91" s="96"/>
      <c r="E91" s="97"/>
      <c r="F91" s="97"/>
      <c r="G91" s="96"/>
      <c r="H91" s="96"/>
      <c r="I91" s="96"/>
      <c r="J91" s="96"/>
      <c r="K91" s="96"/>
      <c r="L91" s="96"/>
      <c r="M91" s="96"/>
      <c r="N91" s="96"/>
    </row>
    <row r="92" spans="1:15" s="13" customFormat="1" x14ac:dyDescent="0.2">
      <c r="A92" s="45"/>
      <c r="B92" s="95"/>
      <c r="C92" s="96"/>
      <c r="D92" s="96"/>
      <c r="E92" s="97"/>
      <c r="F92" s="97"/>
      <c r="G92" s="96"/>
      <c r="H92" s="96"/>
      <c r="I92" s="96"/>
      <c r="J92" s="96"/>
      <c r="K92" s="96"/>
      <c r="L92" s="96"/>
      <c r="M92" s="96"/>
      <c r="N92" s="96"/>
    </row>
    <row r="93" spans="1:15" s="59" customFormat="1" ht="21" customHeight="1" thickBot="1" x14ac:dyDescent="0.25">
      <c r="A93" s="7" t="s">
        <v>100</v>
      </c>
      <c r="B93" s="7"/>
      <c r="C93" s="7"/>
      <c r="D93" s="7"/>
      <c r="E93" s="7"/>
      <c r="F93" s="7"/>
      <c r="G93" s="5"/>
      <c r="H93" s="5"/>
      <c r="I93" s="5"/>
      <c r="J93" s="5"/>
      <c r="K93" s="5"/>
      <c r="L93" s="6"/>
      <c r="M93" s="6"/>
      <c r="N93" s="6"/>
    </row>
    <row r="94" spans="1:15" s="13" customFormat="1" ht="24" customHeight="1" thickBot="1" x14ac:dyDescent="0.25">
      <c r="A94" s="49" t="s">
        <v>0</v>
      </c>
      <c r="B94" s="50" t="s">
        <v>1</v>
      </c>
      <c r="C94" s="51" t="s">
        <v>17</v>
      </c>
      <c r="D94" s="51" t="s">
        <v>18</v>
      </c>
      <c r="E94" s="51" t="s">
        <v>19</v>
      </c>
      <c r="F94" s="51" t="s">
        <v>20</v>
      </c>
      <c r="G94" s="51" t="s">
        <v>21</v>
      </c>
      <c r="H94" s="51" t="s">
        <v>22</v>
      </c>
      <c r="I94" s="51" t="s">
        <v>23</v>
      </c>
      <c r="J94" s="51" t="s">
        <v>24</v>
      </c>
      <c r="K94" s="51" t="s">
        <v>25</v>
      </c>
      <c r="L94" s="51" t="s">
        <v>26</v>
      </c>
      <c r="M94" s="51" t="s">
        <v>27</v>
      </c>
      <c r="N94" s="52" t="s">
        <v>28</v>
      </c>
    </row>
    <row r="95" spans="1:15" s="17" customFormat="1" ht="21" customHeight="1" thickBot="1" x14ac:dyDescent="0.25">
      <c r="A95" s="14" t="s">
        <v>31</v>
      </c>
      <c r="B95" s="15" t="s">
        <v>5</v>
      </c>
      <c r="C95" s="135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2"/>
      <c r="O95" s="44"/>
    </row>
    <row r="96" spans="1:15" s="17" customFormat="1" ht="13.5" thickBot="1" x14ac:dyDescent="0.25">
      <c r="A96" s="18" t="s">
        <v>32</v>
      </c>
      <c r="B96" s="78" t="s">
        <v>7</v>
      </c>
      <c r="C96" s="20"/>
      <c r="D96" s="20"/>
      <c r="E96" s="21"/>
      <c r="F96" s="21"/>
      <c r="G96" s="63"/>
      <c r="H96" s="21"/>
      <c r="I96" s="21"/>
      <c r="J96" s="21"/>
      <c r="K96" s="21"/>
      <c r="L96" s="21"/>
      <c r="M96" s="21"/>
      <c r="N96" s="22"/>
      <c r="O96" s="61"/>
    </row>
    <row r="97" spans="1:15" s="13" customFormat="1" ht="15" customHeight="1" x14ac:dyDescent="0.2">
      <c r="A97" s="80"/>
      <c r="B97" s="86" t="s">
        <v>61</v>
      </c>
      <c r="C97" s="155">
        <f>SUM(C98:C101)</f>
        <v>2859.413</v>
      </c>
      <c r="D97" s="155">
        <f t="shared" ref="D97:N97" si="26">SUM(D98:D101)</f>
        <v>3056.4929999999999</v>
      </c>
      <c r="E97" s="156">
        <f t="shared" si="26"/>
        <v>3065.163</v>
      </c>
      <c r="F97" s="156">
        <f t="shared" si="26"/>
        <v>3029.4929999999999</v>
      </c>
      <c r="G97" s="156">
        <f t="shared" si="26"/>
        <v>3007.2629999999999</v>
      </c>
      <c r="H97" s="156">
        <f t="shared" si="26"/>
        <v>3018.2930000000001</v>
      </c>
      <c r="I97" s="156">
        <f t="shared" si="26"/>
        <v>3273.9630000000002</v>
      </c>
      <c r="J97" s="156">
        <f t="shared" si="26"/>
        <v>3300.5230000000001</v>
      </c>
      <c r="K97" s="156">
        <f t="shared" si="26"/>
        <v>3249.2730000000001</v>
      </c>
      <c r="L97" s="156">
        <f t="shared" si="26"/>
        <v>3394.783530036525</v>
      </c>
      <c r="M97" s="156">
        <f t="shared" si="26"/>
        <v>3447.6635300365251</v>
      </c>
      <c r="N97" s="156">
        <f t="shared" si="26"/>
        <v>3398.803530036525</v>
      </c>
      <c r="O97" s="61"/>
    </row>
    <row r="98" spans="1:15" s="13" customFormat="1" ht="15" customHeight="1" x14ac:dyDescent="0.2">
      <c r="A98" s="29"/>
      <c r="B98" s="89" t="s">
        <v>113</v>
      </c>
      <c r="C98" s="101">
        <v>2190.75</v>
      </c>
      <c r="D98" s="101">
        <v>2387.83</v>
      </c>
      <c r="E98" s="102">
        <v>2396.5</v>
      </c>
      <c r="F98" s="102">
        <v>2360.83</v>
      </c>
      <c r="G98" s="157">
        <v>2338.6</v>
      </c>
      <c r="H98" s="101">
        <v>2349.63</v>
      </c>
      <c r="I98" s="101">
        <v>2605.3000000000002</v>
      </c>
      <c r="J98" s="101">
        <v>2631.86</v>
      </c>
      <c r="K98" s="101">
        <v>2580.61</v>
      </c>
      <c r="L98" s="101">
        <v>2625.93</v>
      </c>
      <c r="M98" s="101">
        <v>2678.81</v>
      </c>
      <c r="N98" s="158">
        <v>2629.95</v>
      </c>
      <c r="O98" s="61"/>
    </row>
    <row r="99" spans="1:15" s="13" customFormat="1" ht="15" customHeight="1" x14ac:dyDescent="0.2">
      <c r="A99" s="25"/>
      <c r="B99" s="90" t="s">
        <v>64</v>
      </c>
      <c r="C99" s="114">
        <v>556.48</v>
      </c>
      <c r="D99" s="114">
        <v>556.48</v>
      </c>
      <c r="E99" s="115">
        <v>556.48</v>
      </c>
      <c r="F99" s="115">
        <v>556.48</v>
      </c>
      <c r="G99" s="116">
        <v>556.48</v>
      </c>
      <c r="H99" s="114">
        <v>556.48</v>
      </c>
      <c r="I99" s="114">
        <v>556.48</v>
      </c>
      <c r="J99" s="114">
        <v>556.48</v>
      </c>
      <c r="K99" s="114">
        <v>556.48</v>
      </c>
      <c r="L99" s="114">
        <v>641.05999999999995</v>
      </c>
      <c r="M99" s="114">
        <v>641.05999999999995</v>
      </c>
      <c r="N99" s="117">
        <v>641.05999999999995</v>
      </c>
      <c r="O99" s="61"/>
    </row>
    <row r="100" spans="1:15" s="13" customFormat="1" ht="15" customHeight="1" x14ac:dyDescent="0.2">
      <c r="A100" s="29"/>
      <c r="B100" s="89" t="s">
        <v>9</v>
      </c>
      <c r="C100" s="114">
        <v>106.82</v>
      </c>
      <c r="D100" s="114">
        <v>106.82</v>
      </c>
      <c r="E100" s="115">
        <v>106.82</v>
      </c>
      <c r="F100" s="115">
        <v>106.82</v>
      </c>
      <c r="G100" s="116">
        <v>106.82</v>
      </c>
      <c r="H100" s="114">
        <v>106.82</v>
      </c>
      <c r="I100" s="114">
        <v>106.82</v>
      </c>
      <c r="J100" s="114">
        <v>106.82</v>
      </c>
      <c r="K100" s="114">
        <v>106.82</v>
      </c>
      <c r="L100" s="114">
        <v>121.67</v>
      </c>
      <c r="M100" s="114">
        <v>121.67</v>
      </c>
      <c r="N100" s="117">
        <v>121.67</v>
      </c>
      <c r="O100" s="61"/>
    </row>
    <row r="101" spans="1:15" s="13" customFormat="1" x14ac:dyDescent="0.2">
      <c r="A101" s="81"/>
      <c r="B101" s="91" t="s">
        <v>42</v>
      </c>
      <c r="C101" s="106">
        <v>5.3629999999999995</v>
      </c>
      <c r="D101" s="106">
        <v>5.3629999999999995</v>
      </c>
      <c r="E101" s="107">
        <v>5.3629999999999995</v>
      </c>
      <c r="F101" s="107">
        <v>5.3629999999999995</v>
      </c>
      <c r="G101" s="108">
        <v>5.3629999999999995</v>
      </c>
      <c r="H101" s="106">
        <v>5.3629999999999995</v>
      </c>
      <c r="I101" s="106">
        <v>5.3629999999999995</v>
      </c>
      <c r="J101" s="106">
        <v>5.3629999999999995</v>
      </c>
      <c r="K101" s="106">
        <v>5.3629999999999995</v>
      </c>
      <c r="L101" s="106">
        <v>6.1235300365250511</v>
      </c>
      <c r="M101" s="106">
        <v>6.1235300365250511</v>
      </c>
      <c r="N101" s="109">
        <v>6.1235300365250511</v>
      </c>
      <c r="O101" s="61"/>
    </row>
    <row r="102" spans="1:15" s="13" customFormat="1" ht="25.5" x14ac:dyDescent="0.2">
      <c r="A102" s="82"/>
      <c r="B102" s="87" t="s">
        <v>118</v>
      </c>
      <c r="C102" s="119">
        <f>SUM(C103:C104)</f>
        <v>1063691.4400000002</v>
      </c>
      <c r="D102" s="119">
        <f t="shared" ref="D102:N102" si="27">SUM(D103:D104)</f>
        <v>1007002.78</v>
      </c>
      <c r="E102" s="120">
        <f t="shared" si="27"/>
        <v>1062450.8899999999</v>
      </c>
      <c r="F102" s="120">
        <f t="shared" si="27"/>
        <v>1056190.19</v>
      </c>
      <c r="G102" s="119">
        <f t="shared" si="27"/>
        <v>1227142.22</v>
      </c>
      <c r="H102" s="119">
        <f t="shared" si="27"/>
        <v>1197387.5999999999</v>
      </c>
      <c r="I102" s="119">
        <f t="shared" si="27"/>
        <v>1200392.96</v>
      </c>
      <c r="J102" s="119">
        <f t="shared" si="27"/>
        <v>1192228.79</v>
      </c>
      <c r="K102" s="119">
        <f t="shared" si="27"/>
        <v>1192669.18</v>
      </c>
      <c r="L102" s="119">
        <f t="shared" si="27"/>
        <v>1225813.8399999999</v>
      </c>
      <c r="M102" s="119">
        <f t="shared" si="27"/>
        <v>1234126.6700000002</v>
      </c>
      <c r="N102" s="118">
        <f t="shared" si="27"/>
        <v>1233361.28</v>
      </c>
    </row>
    <row r="103" spans="1:15" s="13" customFormat="1" ht="25.5" x14ac:dyDescent="0.2">
      <c r="A103" s="178"/>
      <c r="B103" s="91" t="s">
        <v>116</v>
      </c>
      <c r="C103" s="146">
        <v>850.58</v>
      </c>
      <c r="D103" s="146">
        <v>1150.1400000000001</v>
      </c>
      <c r="E103" s="99">
        <v>1178.98</v>
      </c>
      <c r="F103" s="99">
        <v>1377.28</v>
      </c>
      <c r="G103" s="147">
        <v>1386.94</v>
      </c>
      <c r="H103" s="146">
        <v>1354.18</v>
      </c>
      <c r="I103" s="146">
        <v>1251.6600000000001</v>
      </c>
      <c r="J103" s="146">
        <v>1551.11</v>
      </c>
      <c r="K103" s="146">
        <v>1608.71</v>
      </c>
      <c r="L103" s="146">
        <v>1250.6400000000001</v>
      </c>
      <c r="M103" s="146">
        <v>1067.3599999999999</v>
      </c>
      <c r="N103" s="158">
        <v>1060.92</v>
      </c>
    </row>
    <row r="104" spans="1:15" s="13" customFormat="1" ht="25.5" x14ac:dyDescent="0.2">
      <c r="A104" s="178"/>
      <c r="B104" s="90" t="s">
        <v>117</v>
      </c>
      <c r="C104" s="146">
        <v>1062840.8600000001</v>
      </c>
      <c r="D104" s="146">
        <v>1005852.64</v>
      </c>
      <c r="E104" s="99">
        <v>1061271.9099999999</v>
      </c>
      <c r="F104" s="99">
        <v>1054812.9099999999</v>
      </c>
      <c r="G104" s="147">
        <v>1225755.28</v>
      </c>
      <c r="H104" s="146">
        <v>1196033.42</v>
      </c>
      <c r="I104" s="146">
        <v>1199141.3</v>
      </c>
      <c r="J104" s="146">
        <v>1190677.68</v>
      </c>
      <c r="K104" s="146">
        <v>1191060.47</v>
      </c>
      <c r="L104" s="146">
        <v>1224563.2</v>
      </c>
      <c r="M104" s="146">
        <v>1233059.31</v>
      </c>
      <c r="N104" s="148">
        <v>1232300.3600000001</v>
      </c>
    </row>
    <row r="105" spans="1:15" s="13" customFormat="1" ht="26.25" thickBot="1" x14ac:dyDescent="0.25">
      <c r="A105" s="84"/>
      <c r="B105" s="191" t="s">
        <v>65</v>
      </c>
      <c r="C105" s="128">
        <v>1502350</v>
      </c>
      <c r="D105" s="129">
        <v>1502350</v>
      </c>
      <c r="E105" s="130">
        <v>1502350</v>
      </c>
      <c r="F105" s="130">
        <v>1502350</v>
      </c>
      <c r="G105" s="131">
        <v>1502350</v>
      </c>
      <c r="H105" s="128">
        <v>1502350</v>
      </c>
      <c r="I105" s="129">
        <v>1502350</v>
      </c>
      <c r="J105" s="128">
        <v>1502350</v>
      </c>
      <c r="K105" s="129">
        <v>1502350</v>
      </c>
      <c r="L105" s="128">
        <v>1807327.05</v>
      </c>
      <c r="M105" s="129">
        <v>1807327.05</v>
      </c>
      <c r="N105" s="132">
        <v>1807327.05</v>
      </c>
    </row>
    <row r="106" spans="1:15" s="13" customFormat="1" ht="26.25" thickBot="1" x14ac:dyDescent="0.25">
      <c r="A106" s="36" t="s">
        <v>33</v>
      </c>
      <c r="B106" s="37" t="s">
        <v>11</v>
      </c>
      <c r="C106" s="20"/>
      <c r="D106" s="20"/>
      <c r="E106" s="21"/>
      <c r="F106" s="21"/>
      <c r="G106" s="66"/>
      <c r="H106" s="20"/>
      <c r="I106" s="20"/>
      <c r="J106" s="20"/>
      <c r="K106" s="20"/>
      <c r="L106" s="20"/>
      <c r="M106" s="20"/>
      <c r="N106" s="55"/>
    </row>
    <row r="107" spans="1:15" s="13" customFormat="1" ht="14.25" customHeight="1" x14ac:dyDescent="0.2">
      <c r="A107" s="85"/>
      <c r="B107" s="88" t="s">
        <v>61</v>
      </c>
      <c r="C107" s="159">
        <f>SUM(C108:C110)</f>
        <v>2302.933</v>
      </c>
      <c r="D107" s="159">
        <f t="shared" ref="D107:N107" si="28">SUM(D108:D110)</f>
        <v>2500.0129999999999</v>
      </c>
      <c r="E107" s="160">
        <f t="shared" si="28"/>
        <v>2508.683</v>
      </c>
      <c r="F107" s="160">
        <f t="shared" si="28"/>
        <v>2473.0129999999999</v>
      </c>
      <c r="G107" s="160">
        <f t="shared" si="28"/>
        <v>2450.7829999999999</v>
      </c>
      <c r="H107" s="160">
        <f t="shared" si="28"/>
        <v>2461.8130000000001</v>
      </c>
      <c r="I107" s="160">
        <f t="shared" si="28"/>
        <v>2717.4830000000002</v>
      </c>
      <c r="J107" s="160">
        <f t="shared" si="28"/>
        <v>2744.0430000000001</v>
      </c>
      <c r="K107" s="160">
        <f t="shared" si="28"/>
        <v>2692.7930000000001</v>
      </c>
      <c r="L107" s="160">
        <f t="shared" si="28"/>
        <v>2753.7235300365251</v>
      </c>
      <c r="M107" s="160">
        <f t="shared" si="28"/>
        <v>2806.6035300365252</v>
      </c>
      <c r="N107" s="161">
        <f t="shared" si="28"/>
        <v>2757.743530036525</v>
      </c>
    </row>
    <row r="108" spans="1:15" s="13" customFormat="1" x14ac:dyDescent="0.2">
      <c r="A108" s="25"/>
      <c r="B108" s="89" t="s">
        <v>113</v>
      </c>
      <c r="C108" s="101">
        <f t="shared" ref="C108:N108" si="29">C98</f>
        <v>2190.75</v>
      </c>
      <c r="D108" s="101">
        <f t="shared" si="29"/>
        <v>2387.83</v>
      </c>
      <c r="E108" s="102">
        <f t="shared" si="29"/>
        <v>2396.5</v>
      </c>
      <c r="F108" s="102">
        <f t="shared" si="29"/>
        <v>2360.83</v>
      </c>
      <c r="G108" s="157">
        <f t="shared" si="29"/>
        <v>2338.6</v>
      </c>
      <c r="H108" s="101">
        <f t="shared" si="29"/>
        <v>2349.63</v>
      </c>
      <c r="I108" s="101">
        <f t="shared" si="29"/>
        <v>2605.3000000000002</v>
      </c>
      <c r="J108" s="101">
        <f t="shared" si="29"/>
        <v>2631.86</v>
      </c>
      <c r="K108" s="101">
        <f t="shared" si="29"/>
        <v>2580.61</v>
      </c>
      <c r="L108" s="101">
        <f t="shared" si="29"/>
        <v>2625.93</v>
      </c>
      <c r="M108" s="101">
        <f t="shared" si="29"/>
        <v>2678.81</v>
      </c>
      <c r="N108" s="158">
        <f t="shared" si="29"/>
        <v>2629.95</v>
      </c>
    </row>
    <row r="109" spans="1:15" s="13" customFormat="1" x14ac:dyDescent="0.2">
      <c r="A109" s="40"/>
      <c r="B109" s="90" t="s">
        <v>9</v>
      </c>
      <c r="C109" s="114">
        <f t="shared" ref="C109:N109" si="30">C100</f>
        <v>106.82</v>
      </c>
      <c r="D109" s="114">
        <f t="shared" si="30"/>
        <v>106.82</v>
      </c>
      <c r="E109" s="115">
        <f t="shared" si="30"/>
        <v>106.82</v>
      </c>
      <c r="F109" s="115">
        <f t="shared" si="30"/>
        <v>106.82</v>
      </c>
      <c r="G109" s="121">
        <f t="shared" si="30"/>
        <v>106.82</v>
      </c>
      <c r="H109" s="115">
        <f t="shared" si="30"/>
        <v>106.82</v>
      </c>
      <c r="I109" s="115">
        <f t="shared" si="30"/>
        <v>106.82</v>
      </c>
      <c r="J109" s="115">
        <f t="shared" si="30"/>
        <v>106.82</v>
      </c>
      <c r="K109" s="115">
        <f t="shared" si="30"/>
        <v>106.82</v>
      </c>
      <c r="L109" s="115">
        <f t="shared" si="30"/>
        <v>121.67</v>
      </c>
      <c r="M109" s="115">
        <f t="shared" si="30"/>
        <v>121.67</v>
      </c>
      <c r="N109" s="122">
        <f t="shared" si="30"/>
        <v>121.67</v>
      </c>
    </row>
    <row r="110" spans="1:15" s="13" customFormat="1" x14ac:dyDescent="0.2">
      <c r="A110" s="81"/>
      <c r="B110" s="91" t="s">
        <v>42</v>
      </c>
      <c r="C110" s="106">
        <f t="shared" ref="C110:N110" si="31">C101</f>
        <v>5.3629999999999995</v>
      </c>
      <c r="D110" s="106">
        <f t="shared" si="31"/>
        <v>5.3629999999999995</v>
      </c>
      <c r="E110" s="107">
        <f t="shared" si="31"/>
        <v>5.3629999999999995</v>
      </c>
      <c r="F110" s="107">
        <f t="shared" si="31"/>
        <v>5.3629999999999995</v>
      </c>
      <c r="G110" s="108">
        <f t="shared" si="31"/>
        <v>5.3629999999999995</v>
      </c>
      <c r="H110" s="106">
        <f t="shared" si="31"/>
        <v>5.3629999999999995</v>
      </c>
      <c r="I110" s="106">
        <f t="shared" si="31"/>
        <v>5.3629999999999995</v>
      </c>
      <c r="J110" s="106">
        <f t="shared" si="31"/>
        <v>5.3629999999999995</v>
      </c>
      <c r="K110" s="106">
        <f t="shared" si="31"/>
        <v>5.3629999999999995</v>
      </c>
      <c r="L110" s="106">
        <f t="shared" si="31"/>
        <v>6.1235300365250511</v>
      </c>
      <c r="M110" s="106">
        <f t="shared" si="31"/>
        <v>6.1235300365250511</v>
      </c>
      <c r="N110" s="109">
        <f t="shared" si="31"/>
        <v>6.1235300365250511</v>
      </c>
    </row>
    <row r="111" spans="1:15" s="13" customFormat="1" ht="25.5" x14ac:dyDescent="0.2">
      <c r="A111" s="82"/>
      <c r="B111" s="87" t="s">
        <v>118</v>
      </c>
      <c r="C111" s="119">
        <f>SUM(C112:C113)</f>
        <v>1063691.4400000002</v>
      </c>
      <c r="D111" s="119">
        <f t="shared" ref="D111:N111" si="32">SUM(D112:D113)</f>
        <v>1007002.78</v>
      </c>
      <c r="E111" s="120">
        <f t="shared" si="32"/>
        <v>1062450.8899999999</v>
      </c>
      <c r="F111" s="120">
        <f t="shared" si="32"/>
        <v>1056190.19</v>
      </c>
      <c r="G111" s="119">
        <f t="shared" si="32"/>
        <v>1227142.22</v>
      </c>
      <c r="H111" s="119">
        <f t="shared" si="32"/>
        <v>1197387.5999999999</v>
      </c>
      <c r="I111" s="119">
        <f t="shared" si="32"/>
        <v>1200392.96</v>
      </c>
      <c r="J111" s="119">
        <f t="shared" si="32"/>
        <v>1192228.79</v>
      </c>
      <c r="K111" s="119">
        <f t="shared" si="32"/>
        <v>1192669.18</v>
      </c>
      <c r="L111" s="119">
        <f t="shared" si="32"/>
        <v>1225813.8399999999</v>
      </c>
      <c r="M111" s="119">
        <f t="shared" si="32"/>
        <v>1234126.6700000002</v>
      </c>
      <c r="N111" s="118">
        <f t="shared" si="32"/>
        <v>1233361.28</v>
      </c>
    </row>
    <row r="112" spans="1:15" s="13" customFormat="1" ht="25.5" x14ac:dyDescent="0.2">
      <c r="A112" s="178"/>
      <c r="B112" s="91" t="s">
        <v>116</v>
      </c>
      <c r="C112" s="146">
        <v>850.58</v>
      </c>
      <c r="D112" s="146">
        <v>1150.1400000000001</v>
      </c>
      <c r="E112" s="99">
        <v>1178.98</v>
      </c>
      <c r="F112" s="99">
        <v>1377.28</v>
      </c>
      <c r="G112" s="147">
        <v>1386.94</v>
      </c>
      <c r="H112" s="146">
        <v>1354.18</v>
      </c>
      <c r="I112" s="146">
        <v>1251.6600000000001</v>
      </c>
      <c r="J112" s="146">
        <v>1551.11</v>
      </c>
      <c r="K112" s="146">
        <v>1608.71</v>
      </c>
      <c r="L112" s="146">
        <v>1250.6400000000001</v>
      </c>
      <c r="M112" s="146">
        <v>1067.3599999999999</v>
      </c>
      <c r="N112" s="158">
        <v>1060.92</v>
      </c>
    </row>
    <row r="113" spans="1:15" s="13" customFormat="1" ht="26.25" thickBot="1" x14ac:dyDescent="0.25">
      <c r="A113" s="178"/>
      <c r="B113" s="90" t="s">
        <v>117</v>
      </c>
      <c r="C113" s="101">
        <v>1062840.8600000001</v>
      </c>
      <c r="D113" s="101">
        <v>1005852.64</v>
      </c>
      <c r="E113" s="102">
        <v>1061271.9099999999</v>
      </c>
      <c r="F113" s="102">
        <v>1054812.9099999999</v>
      </c>
      <c r="G113" s="157">
        <v>1225755.28</v>
      </c>
      <c r="H113" s="101">
        <v>1196033.42</v>
      </c>
      <c r="I113" s="101">
        <v>1199141.3</v>
      </c>
      <c r="J113" s="101">
        <v>1190677.68</v>
      </c>
      <c r="K113" s="101">
        <v>1191060.47</v>
      </c>
      <c r="L113" s="101">
        <v>1224563.2</v>
      </c>
      <c r="M113" s="101">
        <v>1233059.31</v>
      </c>
      <c r="N113" s="148">
        <v>1232300.3600000001</v>
      </c>
    </row>
    <row r="114" spans="1:15" s="13" customFormat="1" ht="15" thickBot="1" x14ac:dyDescent="0.25">
      <c r="A114" s="36" t="s">
        <v>92</v>
      </c>
      <c r="B114" s="37" t="s">
        <v>66</v>
      </c>
      <c r="C114" s="20"/>
      <c r="D114" s="20"/>
      <c r="E114" s="21"/>
      <c r="F114" s="21"/>
      <c r="G114" s="66"/>
      <c r="H114" s="20"/>
      <c r="I114" s="20"/>
      <c r="J114" s="20"/>
      <c r="K114" s="20"/>
      <c r="L114" s="20"/>
      <c r="M114" s="20"/>
      <c r="N114" s="55"/>
    </row>
    <row r="115" spans="1:15" s="13" customFormat="1" ht="14.25" customHeight="1" x14ac:dyDescent="0.2">
      <c r="A115" s="85"/>
      <c r="B115" s="88" t="s">
        <v>61</v>
      </c>
      <c r="C115" s="159">
        <f>SUM(C116:C118)</f>
        <v>2302.933</v>
      </c>
      <c r="D115" s="159">
        <f t="shared" ref="D115:N115" si="33">SUM(D116:D118)</f>
        <v>2500.0129999999999</v>
      </c>
      <c r="E115" s="160">
        <f t="shared" si="33"/>
        <v>2508.683</v>
      </c>
      <c r="F115" s="160">
        <f t="shared" si="33"/>
        <v>2473.0129999999999</v>
      </c>
      <c r="G115" s="160">
        <f t="shared" si="33"/>
        <v>2450.7829999999999</v>
      </c>
      <c r="H115" s="160">
        <f t="shared" si="33"/>
        <v>2461.8130000000001</v>
      </c>
      <c r="I115" s="160">
        <f t="shared" si="33"/>
        <v>2717.4830000000002</v>
      </c>
      <c r="J115" s="160">
        <f t="shared" si="33"/>
        <v>2744.0430000000001</v>
      </c>
      <c r="K115" s="160">
        <f t="shared" si="33"/>
        <v>2692.7930000000001</v>
      </c>
      <c r="L115" s="160">
        <f t="shared" si="33"/>
        <v>2753.7235300365251</v>
      </c>
      <c r="M115" s="160">
        <f t="shared" si="33"/>
        <v>2806.6035300365252</v>
      </c>
      <c r="N115" s="161">
        <f t="shared" si="33"/>
        <v>2757.743530036525</v>
      </c>
    </row>
    <row r="116" spans="1:15" s="13" customFormat="1" x14ac:dyDescent="0.2">
      <c r="A116" s="25"/>
      <c r="B116" s="89" t="s">
        <v>113</v>
      </c>
      <c r="C116" s="101">
        <f t="shared" ref="C116:N116" si="34">C98</f>
        <v>2190.75</v>
      </c>
      <c r="D116" s="101">
        <f t="shared" si="34"/>
        <v>2387.83</v>
      </c>
      <c r="E116" s="102">
        <f t="shared" si="34"/>
        <v>2396.5</v>
      </c>
      <c r="F116" s="102">
        <f t="shared" si="34"/>
        <v>2360.83</v>
      </c>
      <c r="G116" s="157">
        <f t="shared" si="34"/>
        <v>2338.6</v>
      </c>
      <c r="H116" s="101">
        <f t="shared" si="34"/>
        <v>2349.63</v>
      </c>
      <c r="I116" s="101">
        <f t="shared" si="34"/>
        <v>2605.3000000000002</v>
      </c>
      <c r="J116" s="101">
        <f t="shared" si="34"/>
        <v>2631.86</v>
      </c>
      <c r="K116" s="101">
        <f t="shared" si="34"/>
        <v>2580.61</v>
      </c>
      <c r="L116" s="101">
        <f t="shared" si="34"/>
        <v>2625.93</v>
      </c>
      <c r="M116" s="101">
        <f t="shared" si="34"/>
        <v>2678.81</v>
      </c>
      <c r="N116" s="158">
        <f t="shared" si="34"/>
        <v>2629.95</v>
      </c>
    </row>
    <row r="117" spans="1:15" s="13" customFormat="1" x14ac:dyDescent="0.2">
      <c r="A117" s="40"/>
      <c r="B117" s="90" t="s">
        <v>9</v>
      </c>
      <c r="C117" s="114">
        <f t="shared" ref="C117:N117" si="35">C100</f>
        <v>106.82</v>
      </c>
      <c r="D117" s="114">
        <f t="shared" si="35"/>
        <v>106.82</v>
      </c>
      <c r="E117" s="115">
        <f t="shared" si="35"/>
        <v>106.82</v>
      </c>
      <c r="F117" s="115">
        <f t="shared" si="35"/>
        <v>106.82</v>
      </c>
      <c r="G117" s="121">
        <f t="shared" si="35"/>
        <v>106.82</v>
      </c>
      <c r="H117" s="115">
        <f t="shared" si="35"/>
        <v>106.82</v>
      </c>
      <c r="I117" s="115">
        <f t="shared" si="35"/>
        <v>106.82</v>
      </c>
      <c r="J117" s="115">
        <f t="shared" si="35"/>
        <v>106.82</v>
      </c>
      <c r="K117" s="115">
        <f t="shared" si="35"/>
        <v>106.82</v>
      </c>
      <c r="L117" s="115">
        <f t="shared" si="35"/>
        <v>121.67</v>
      </c>
      <c r="M117" s="115">
        <f t="shared" si="35"/>
        <v>121.67</v>
      </c>
      <c r="N117" s="122">
        <f t="shared" si="35"/>
        <v>121.67</v>
      </c>
    </row>
    <row r="118" spans="1:15" s="13" customFormat="1" x14ac:dyDescent="0.2">
      <c r="A118" s="81"/>
      <c r="B118" s="91" t="s">
        <v>42</v>
      </c>
      <c r="C118" s="106">
        <f t="shared" ref="C118:N118" si="36">C101</f>
        <v>5.3629999999999995</v>
      </c>
      <c r="D118" s="106">
        <f t="shared" si="36"/>
        <v>5.3629999999999995</v>
      </c>
      <c r="E118" s="107">
        <f t="shared" si="36"/>
        <v>5.3629999999999995</v>
      </c>
      <c r="F118" s="107">
        <f t="shared" si="36"/>
        <v>5.3629999999999995</v>
      </c>
      <c r="G118" s="108">
        <f t="shared" si="36"/>
        <v>5.3629999999999995</v>
      </c>
      <c r="H118" s="106">
        <f t="shared" si="36"/>
        <v>5.3629999999999995</v>
      </c>
      <c r="I118" s="106">
        <f t="shared" si="36"/>
        <v>5.3629999999999995</v>
      </c>
      <c r="J118" s="106">
        <f t="shared" si="36"/>
        <v>5.3629999999999995</v>
      </c>
      <c r="K118" s="106">
        <f t="shared" si="36"/>
        <v>5.3629999999999995</v>
      </c>
      <c r="L118" s="106">
        <f t="shared" si="36"/>
        <v>6.1235300365250511</v>
      </c>
      <c r="M118" s="106">
        <f t="shared" si="36"/>
        <v>6.1235300365250511</v>
      </c>
      <c r="N118" s="109">
        <f t="shared" si="36"/>
        <v>6.1235300365250511</v>
      </c>
    </row>
    <row r="119" spans="1:15" s="13" customFormat="1" ht="25.5" x14ac:dyDescent="0.2">
      <c r="A119" s="82"/>
      <c r="B119" s="87" t="s">
        <v>118</v>
      </c>
      <c r="C119" s="119">
        <f>SUM(C120:C121)</f>
        <v>1063691.4400000002</v>
      </c>
      <c r="D119" s="119">
        <f t="shared" ref="D119:N119" si="37">SUM(D120:D121)</f>
        <v>1007002.78</v>
      </c>
      <c r="E119" s="120">
        <f t="shared" si="37"/>
        <v>1062450.8899999999</v>
      </c>
      <c r="F119" s="120">
        <f t="shared" si="37"/>
        <v>1056190.19</v>
      </c>
      <c r="G119" s="119">
        <f t="shared" si="37"/>
        <v>1227142.22</v>
      </c>
      <c r="H119" s="119">
        <f t="shared" si="37"/>
        <v>1197387.5999999999</v>
      </c>
      <c r="I119" s="119">
        <f t="shared" si="37"/>
        <v>1200392.96</v>
      </c>
      <c r="J119" s="119">
        <f t="shared" si="37"/>
        <v>1192228.79</v>
      </c>
      <c r="K119" s="119">
        <f t="shared" si="37"/>
        <v>1192669.18</v>
      </c>
      <c r="L119" s="119">
        <f t="shared" si="37"/>
        <v>1225813.8399999999</v>
      </c>
      <c r="M119" s="119">
        <f t="shared" si="37"/>
        <v>1234126.6700000002</v>
      </c>
      <c r="N119" s="118">
        <f t="shared" si="37"/>
        <v>1233361.28</v>
      </c>
    </row>
    <row r="120" spans="1:15" s="13" customFormat="1" ht="25.5" x14ac:dyDescent="0.2">
      <c r="A120" s="178"/>
      <c r="B120" s="91" t="s">
        <v>116</v>
      </c>
      <c r="C120" s="146">
        <v>850.58</v>
      </c>
      <c r="D120" s="146">
        <v>1150.1400000000001</v>
      </c>
      <c r="E120" s="99">
        <v>1178.98</v>
      </c>
      <c r="F120" s="99">
        <v>1377.28</v>
      </c>
      <c r="G120" s="147">
        <v>1386.94</v>
      </c>
      <c r="H120" s="146">
        <v>1354.18</v>
      </c>
      <c r="I120" s="146">
        <v>1251.6600000000001</v>
      </c>
      <c r="J120" s="146">
        <v>1551.11</v>
      </c>
      <c r="K120" s="146">
        <v>1608.71</v>
      </c>
      <c r="L120" s="146">
        <v>1250.6400000000001</v>
      </c>
      <c r="M120" s="146">
        <v>1067.3599999999999</v>
      </c>
      <c r="N120" s="158">
        <v>1060.92</v>
      </c>
    </row>
    <row r="121" spans="1:15" s="13" customFormat="1" ht="25.5" x14ac:dyDescent="0.2">
      <c r="A121" s="178"/>
      <c r="B121" s="90" t="s">
        <v>117</v>
      </c>
      <c r="C121" s="146">
        <v>1062840.8600000001</v>
      </c>
      <c r="D121" s="146">
        <v>1005852.64</v>
      </c>
      <c r="E121" s="99">
        <v>1061271.9099999999</v>
      </c>
      <c r="F121" s="99">
        <v>1054812.9099999999</v>
      </c>
      <c r="G121" s="147">
        <v>1225755.28</v>
      </c>
      <c r="H121" s="146">
        <v>1196033.42</v>
      </c>
      <c r="I121" s="146">
        <v>1199141.3</v>
      </c>
      <c r="J121" s="146">
        <v>1190677.68</v>
      </c>
      <c r="K121" s="146">
        <v>1191060.47</v>
      </c>
      <c r="L121" s="146">
        <v>1224563.2</v>
      </c>
      <c r="M121" s="146">
        <v>1233059.31</v>
      </c>
      <c r="N121" s="148">
        <v>1232300.3600000001</v>
      </c>
    </row>
    <row r="122" spans="1:15" s="13" customFormat="1" ht="26.25" thickBot="1" x14ac:dyDescent="0.25">
      <c r="A122" s="32"/>
      <c r="B122" s="93" t="s">
        <v>65</v>
      </c>
      <c r="C122" s="129">
        <f>C105</f>
        <v>1502350</v>
      </c>
      <c r="D122" s="129">
        <f t="shared" ref="D122:N122" si="38">D105</f>
        <v>1502350</v>
      </c>
      <c r="E122" s="130">
        <f t="shared" si="38"/>
        <v>1502350</v>
      </c>
      <c r="F122" s="130">
        <f t="shared" si="38"/>
        <v>1502350</v>
      </c>
      <c r="G122" s="133">
        <f t="shared" si="38"/>
        <v>1502350</v>
      </c>
      <c r="H122" s="129">
        <f t="shared" si="38"/>
        <v>1502350</v>
      </c>
      <c r="I122" s="129">
        <f t="shared" si="38"/>
        <v>1502350</v>
      </c>
      <c r="J122" s="129">
        <f t="shared" si="38"/>
        <v>1502350</v>
      </c>
      <c r="K122" s="129">
        <f t="shared" si="38"/>
        <v>1502350</v>
      </c>
      <c r="L122" s="129">
        <f t="shared" si="38"/>
        <v>1807327.05</v>
      </c>
      <c r="M122" s="129">
        <f t="shared" si="38"/>
        <v>1807327.05</v>
      </c>
      <c r="N122" s="134">
        <f t="shared" si="38"/>
        <v>1807327.05</v>
      </c>
    </row>
    <row r="123" spans="1:15" s="13" customFormat="1" x14ac:dyDescent="0.2">
      <c r="A123" s="45"/>
      <c r="B123" s="95"/>
      <c r="C123" s="96"/>
      <c r="D123" s="96"/>
      <c r="E123" s="97"/>
      <c r="F123" s="97"/>
      <c r="G123" s="96"/>
      <c r="H123" s="96"/>
      <c r="I123" s="96"/>
      <c r="J123" s="96"/>
      <c r="K123" s="96"/>
      <c r="L123" s="96"/>
      <c r="M123" s="96"/>
      <c r="N123" s="96"/>
    </row>
    <row r="124" spans="1:15" s="13" customFormat="1" x14ac:dyDescent="0.2">
      <c r="A124" s="45"/>
      <c r="B124" s="95"/>
      <c r="C124" s="96"/>
      <c r="D124" s="96"/>
      <c r="E124" s="97"/>
      <c r="F124" s="97"/>
      <c r="G124" s="96"/>
      <c r="H124" s="96"/>
      <c r="I124" s="96"/>
      <c r="J124" s="96"/>
      <c r="K124" s="96"/>
      <c r="L124" s="96"/>
      <c r="M124" s="96"/>
      <c r="N124" s="96"/>
    </row>
    <row r="125" spans="1:15" s="59" customFormat="1" ht="21" customHeight="1" thickBot="1" x14ac:dyDescent="0.25">
      <c r="A125" s="7" t="s">
        <v>97</v>
      </c>
      <c r="B125" s="7"/>
      <c r="C125" s="7"/>
      <c r="D125" s="7"/>
      <c r="E125" s="7"/>
      <c r="F125" s="7"/>
      <c r="G125" s="5"/>
      <c r="H125" s="5"/>
      <c r="I125" s="5"/>
      <c r="J125" s="5"/>
      <c r="K125" s="5"/>
      <c r="L125" s="6"/>
      <c r="M125" s="6"/>
      <c r="N125" s="6"/>
    </row>
    <row r="126" spans="1:15" s="13" customFormat="1" ht="24" customHeight="1" thickBot="1" x14ac:dyDescent="0.25">
      <c r="A126" s="49" t="s">
        <v>0</v>
      </c>
      <c r="B126" s="50" t="s">
        <v>1</v>
      </c>
      <c r="C126" s="51" t="s">
        <v>17</v>
      </c>
      <c r="D126" s="51" t="s">
        <v>18</v>
      </c>
      <c r="E126" s="51" t="s">
        <v>19</v>
      </c>
      <c r="F126" s="51" t="s">
        <v>20</v>
      </c>
      <c r="G126" s="51" t="s">
        <v>21</v>
      </c>
      <c r="H126" s="51" t="s">
        <v>22</v>
      </c>
      <c r="I126" s="51" t="s">
        <v>23</v>
      </c>
      <c r="J126" s="51" t="s">
        <v>24</v>
      </c>
      <c r="K126" s="51" t="s">
        <v>25</v>
      </c>
      <c r="L126" s="51" t="s">
        <v>26</v>
      </c>
      <c r="M126" s="51" t="s">
        <v>27</v>
      </c>
      <c r="N126" s="52" t="s">
        <v>28</v>
      </c>
    </row>
    <row r="127" spans="1:15" s="17" customFormat="1" ht="21" customHeight="1" thickBot="1" x14ac:dyDescent="0.25">
      <c r="A127" s="14" t="s">
        <v>34</v>
      </c>
      <c r="B127" s="15" t="s">
        <v>5</v>
      </c>
      <c r="C127" s="135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2"/>
      <c r="O127" s="44"/>
    </row>
    <row r="128" spans="1:15" s="17" customFormat="1" ht="13.5" thickBot="1" x14ac:dyDescent="0.25">
      <c r="A128" s="18" t="s">
        <v>35</v>
      </c>
      <c r="B128" s="78" t="s">
        <v>7</v>
      </c>
      <c r="C128" s="20"/>
      <c r="D128" s="20"/>
      <c r="E128" s="21"/>
      <c r="F128" s="21"/>
      <c r="G128" s="63"/>
      <c r="H128" s="21"/>
      <c r="I128" s="21"/>
      <c r="J128" s="21"/>
      <c r="K128" s="21"/>
      <c r="L128" s="21"/>
      <c r="M128" s="21"/>
      <c r="N128" s="22"/>
      <c r="O128" s="61"/>
    </row>
    <row r="129" spans="1:15" s="17" customFormat="1" ht="14.25" customHeight="1" x14ac:dyDescent="0.2">
      <c r="A129" s="83"/>
      <c r="B129" s="86" t="s">
        <v>61</v>
      </c>
      <c r="C129" s="155">
        <f>SUM(C130:C133)</f>
        <v>3410.8130000000001</v>
      </c>
      <c r="D129" s="155">
        <f t="shared" ref="D129:N129" si="39">SUM(D130:D133)</f>
        <v>3607.893</v>
      </c>
      <c r="E129" s="156">
        <f t="shared" si="39"/>
        <v>3616.5630000000001</v>
      </c>
      <c r="F129" s="156">
        <f t="shared" si="39"/>
        <v>3580.893</v>
      </c>
      <c r="G129" s="156">
        <f t="shared" si="39"/>
        <v>3558.663</v>
      </c>
      <c r="H129" s="156">
        <f t="shared" si="39"/>
        <v>3569.6930000000002</v>
      </c>
      <c r="I129" s="156">
        <f t="shared" si="39"/>
        <v>3825.3630000000003</v>
      </c>
      <c r="J129" s="156">
        <f t="shared" si="39"/>
        <v>3851.9230000000002</v>
      </c>
      <c r="K129" s="156">
        <f t="shared" si="39"/>
        <v>3800.6730000000002</v>
      </c>
      <c r="L129" s="156">
        <f t="shared" si="39"/>
        <v>4030.0035300365253</v>
      </c>
      <c r="M129" s="156">
        <f t="shared" si="39"/>
        <v>4082.8835300365254</v>
      </c>
      <c r="N129" s="162">
        <f t="shared" si="39"/>
        <v>4034.0235300365248</v>
      </c>
      <c r="O129" s="61"/>
    </row>
    <row r="130" spans="1:15" s="13" customFormat="1" ht="15" customHeight="1" x14ac:dyDescent="0.2">
      <c r="A130" s="29"/>
      <c r="B130" s="89" t="s">
        <v>113</v>
      </c>
      <c r="C130" s="101">
        <v>2190.75</v>
      </c>
      <c r="D130" s="101">
        <v>2387.83</v>
      </c>
      <c r="E130" s="102">
        <v>2396.5</v>
      </c>
      <c r="F130" s="102">
        <v>2360.83</v>
      </c>
      <c r="G130" s="157">
        <v>2338.6</v>
      </c>
      <c r="H130" s="101">
        <v>2349.63</v>
      </c>
      <c r="I130" s="101">
        <v>2605.3000000000002</v>
      </c>
      <c r="J130" s="101">
        <v>2631.86</v>
      </c>
      <c r="K130" s="101">
        <v>2580.61</v>
      </c>
      <c r="L130" s="101">
        <v>2625.93</v>
      </c>
      <c r="M130" s="101">
        <v>2678.81</v>
      </c>
      <c r="N130" s="158">
        <v>2629.95</v>
      </c>
      <c r="O130" s="61"/>
    </row>
    <row r="131" spans="1:15" s="13" customFormat="1" ht="15" customHeight="1" x14ac:dyDescent="0.2">
      <c r="A131" s="25"/>
      <c r="B131" s="90" t="s">
        <v>64</v>
      </c>
      <c r="C131" s="114">
        <v>1107.8800000000001</v>
      </c>
      <c r="D131" s="114">
        <v>1107.8800000000001</v>
      </c>
      <c r="E131" s="115">
        <v>1107.8800000000001</v>
      </c>
      <c r="F131" s="115">
        <v>1107.8800000000001</v>
      </c>
      <c r="G131" s="116">
        <v>1107.8800000000001</v>
      </c>
      <c r="H131" s="114">
        <v>1107.8800000000001</v>
      </c>
      <c r="I131" s="114">
        <v>1107.8800000000001</v>
      </c>
      <c r="J131" s="114">
        <v>1107.8800000000001</v>
      </c>
      <c r="K131" s="114">
        <v>1107.8800000000001</v>
      </c>
      <c r="L131" s="114">
        <v>1276.28</v>
      </c>
      <c r="M131" s="114">
        <v>1276.28</v>
      </c>
      <c r="N131" s="117">
        <v>1276.28</v>
      </c>
      <c r="O131" s="61"/>
    </row>
    <row r="132" spans="1:15" s="13" customFormat="1" ht="15" customHeight="1" x14ac:dyDescent="0.2">
      <c r="A132" s="29"/>
      <c r="B132" s="89" t="s">
        <v>9</v>
      </c>
      <c r="C132" s="114">
        <v>106.82</v>
      </c>
      <c r="D132" s="114">
        <v>106.82</v>
      </c>
      <c r="E132" s="115">
        <v>106.82</v>
      </c>
      <c r="F132" s="115">
        <v>106.82</v>
      </c>
      <c r="G132" s="116">
        <v>106.82</v>
      </c>
      <c r="H132" s="114">
        <v>106.82</v>
      </c>
      <c r="I132" s="114">
        <v>106.82</v>
      </c>
      <c r="J132" s="114">
        <v>106.82</v>
      </c>
      <c r="K132" s="114">
        <v>106.82</v>
      </c>
      <c r="L132" s="114">
        <v>121.67</v>
      </c>
      <c r="M132" s="114">
        <v>121.67</v>
      </c>
      <c r="N132" s="117">
        <v>121.67</v>
      </c>
      <c r="O132" s="61"/>
    </row>
    <row r="133" spans="1:15" s="13" customFormat="1" ht="15" customHeight="1" x14ac:dyDescent="0.2">
      <c r="A133" s="81"/>
      <c r="B133" s="91" t="s">
        <v>42</v>
      </c>
      <c r="C133" s="106">
        <v>5.3629999999999995</v>
      </c>
      <c r="D133" s="106">
        <v>5.3629999999999995</v>
      </c>
      <c r="E133" s="107">
        <v>5.3629999999999995</v>
      </c>
      <c r="F133" s="107">
        <v>5.3629999999999995</v>
      </c>
      <c r="G133" s="108">
        <v>5.3629999999999995</v>
      </c>
      <c r="H133" s="106">
        <v>5.3629999999999995</v>
      </c>
      <c r="I133" s="106">
        <v>5.3629999999999995</v>
      </c>
      <c r="J133" s="106">
        <v>5.3629999999999995</v>
      </c>
      <c r="K133" s="106">
        <v>5.3629999999999995</v>
      </c>
      <c r="L133" s="106">
        <v>6.1235300365250511</v>
      </c>
      <c r="M133" s="106">
        <v>6.1235300365250511</v>
      </c>
      <c r="N133" s="109">
        <v>6.1235300365250511</v>
      </c>
      <c r="O133" s="61"/>
    </row>
    <row r="134" spans="1:15" s="13" customFormat="1" ht="25.5" x14ac:dyDescent="0.2">
      <c r="A134" s="82"/>
      <c r="B134" s="87" t="s">
        <v>118</v>
      </c>
      <c r="C134" s="119">
        <f>SUM(C135:C136)</f>
        <v>1063691.4400000002</v>
      </c>
      <c r="D134" s="119">
        <f t="shared" ref="D134:N134" si="40">SUM(D135:D136)</f>
        <v>1007002.78</v>
      </c>
      <c r="E134" s="120">
        <f t="shared" si="40"/>
        <v>1062450.8899999999</v>
      </c>
      <c r="F134" s="120">
        <f t="shared" si="40"/>
        <v>1056190.19</v>
      </c>
      <c r="G134" s="119">
        <f t="shared" si="40"/>
        <v>1227142.22</v>
      </c>
      <c r="H134" s="119">
        <f t="shared" si="40"/>
        <v>1197387.5999999999</v>
      </c>
      <c r="I134" s="119">
        <f t="shared" si="40"/>
        <v>1200392.96</v>
      </c>
      <c r="J134" s="119">
        <f t="shared" si="40"/>
        <v>1192228.79</v>
      </c>
      <c r="K134" s="119">
        <f t="shared" si="40"/>
        <v>1192669.18</v>
      </c>
      <c r="L134" s="119">
        <f t="shared" si="40"/>
        <v>1225813.8399999999</v>
      </c>
      <c r="M134" s="119">
        <f t="shared" si="40"/>
        <v>1234126.6700000002</v>
      </c>
      <c r="N134" s="118">
        <f t="shared" si="40"/>
        <v>1233361.28</v>
      </c>
      <c r="O134" s="61"/>
    </row>
    <row r="135" spans="1:15" s="13" customFormat="1" ht="25.5" x14ac:dyDescent="0.2">
      <c r="A135" s="178"/>
      <c r="B135" s="91" t="s">
        <v>116</v>
      </c>
      <c r="C135" s="146">
        <v>850.58</v>
      </c>
      <c r="D135" s="146">
        <v>1150.1400000000001</v>
      </c>
      <c r="E135" s="99">
        <v>1178.98</v>
      </c>
      <c r="F135" s="99">
        <v>1377.28</v>
      </c>
      <c r="G135" s="147">
        <v>1386.94</v>
      </c>
      <c r="H135" s="146">
        <v>1354.18</v>
      </c>
      <c r="I135" s="146">
        <v>1251.6600000000001</v>
      </c>
      <c r="J135" s="146">
        <v>1551.11</v>
      </c>
      <c r="K135" s="146">
        <v>1608.71</v>
      </c>
      <c r="L135" s="146">
        <v>1250.6400000000001</v>
      </c>
      <c r="M135" s="146">
        <v>1067.3599999999999</v>
      </c>
      <c r="N135" s="158">
        <v>1060.92</v>
      </c>
      <c r="O135" s="61"/>
    </row>
    <row r="136" spans="1:15" s="13" customFormat="1" ht="25.5" x14ac:dyDescent="0.2">
      <c r="A136" s="178"/>
      <c r="B136" s="90" t="s">
        <v>117</v>
      </c>
      <c r="C136" s="146">
        <v>1062840.8600000001</v>
      </c>
      <c r="D136" s="146">
        <v>1005852.64</v>
      </c>
      <c r="E136" s="99">
        <v>1061271.9099999999</v>
      </c>
      <c r="F136" s="99">
        <v>1054812.9099999999</v>
      </c>
      <c r="G136" s="147">
        <v>1225755.28</v>
      </c>
      <c r="H136" s="146">
        <v>1196033.42</v>
      </c>
      <c r="I136" s="146">
        <v>1199141.3</v>
      </c>
      <c r="J136" s="146">
        <v>1190677.68</v>
      </c>
      <c r="K136" s="146">
        <v>1191060.47</v>
      </c>
      <c r="L136" s="146">
        <v>1224563.2</v>
      </c>
      <c r="M136" s="146">
        <v>1233059.31</v>
      </c>
      <c r="N136" s="148">
        <v>1232300.3600000001</v>
      </c>
      <c r="O136" s="61"/>
    </row>
    <row r="137" spans="1:15" s="13" customFormat="1" ht="26.25" thickBot="1" x14ac:dyDescent="0.25">
      <c r="A137" s="32"/>
      <c r="B137" s="191" t="s">
        <v>65</v>
      </c>
      <c r="C137" s="128">
        <v>1697848.88</v>
      </c>
      <c r="D137" s="129">
        <v>1697848.88</v>
      </c>
      <c r="E137" s="130">
        <v>1697848.88</v>
      </c>
      <c r="F137" s="130">
        <v>1697848.88</v>
      </c>
      <c r="G137" s="131">
        <v>1697848.88</v>
      </c>
      <c r="H137" s="128">
        <v>1697848.88</v>
      </c>
      <c r="I137" s="129">
        <v>1697848.88</v>
      </c>
      <c r="J137" s="128">
        <v>1697848.88</v>
      </c>
      <c r="K137" s="129">
        <v>1697848.88</v>
      </c>
      <c r="L137" s="128">
        <v>2059490.69</v>
      </c>
      <c r="M137" s="129">
        <v>2059490.69</v>
      </c>
      <c r="N137" s="132">
        <v>2059490.69</v>
      </c>
      <c r="O137" s="61"/>
    </row>
    <row r="138" spans="1:15" s="13" customFormat="1" ht="26.25" thickBot="1" x14ac:dyDescent="0.25">
      <c r="A138" s="36" t="s">
        <v>36</v>
      </c>
      <c r="B138" s="37" t="s">
        <v>11</v>
      </c>
      <c r="C138" s="20"/>
      <c r="D138" s="20"/>
      <c r="E138" s="21"/>
      <c r="F138" s="21"/>
      <c r="G138" s="66"/>
      <c r="H138" s="20"/>
      <c r="I138" s="20"/>
      <c r="J138" s="20"/>
      <c r="K138" s="20"/>
      <c r="L138" s="20"/>
      <c r="M138" s="20"/>
      <c r="N138" s="55"/>
      <c r="O138" s="61"/>
    </row>
    <row r="139" spans="1:15" s="13" customFormat="1" ht="14.25" customHeight="1" x14ac:dyDescent="0.2">
      <c r="A139" s="85"/>
      <c r="B139" s="88" t="s">
        <v>61</v>
      </c>
      <c r="C139" s="159">
        <f>SUM(C140:C142)</f>
        <v>2302.933</v>
      </c>
      <c r="D139" s="159">
        <f t="shared" ref="D139:N139" si="41">SUM(D140:D142)</f>
        <v>2500.0129999999999</v>
      </c>
      <c r="E139" s="160">
        <f t="shared" si="41"/>
        <v>2508.683</v>
      </c>
      <c r="F139" s="160">
        <f t="shared" si="41"/>
        <v>2473.0129999999999</v>
      </c>
      <c r="G139" s="160">
        <f t="shared" si="41"/>
        <v>2450.7829999999999</v>
      </c>
      <c r="H139" s="160">
        <f t="shared" si="41"/>
        <v>2461.8130000000001</v>
      </c>
      <c r="I139" s="160">
        <f t="shared" si="41"/>
        <v>2717.4830000000002</v>
      </c>
      <c r="J139" s="160">
        <f t="shared" si="41"/>
        <v>2744.0430000000001</v>
      </c>
      <c r="K139" s="160">
        <f t="shared" si="41"/>
        <v>2692.7930000000001</v>
      </c>
      <c r="L139" s="160">
        <f t="shared" si="41"/>
        <v>2753.7235300365251</v>
      </c>
      <c r="M139" s="160">
        <f t="shared" si="41"/>
        <v>2806.6035300365252</v>
      </c>
      <c r="N139" s="161">
        <f t="shared" si="41"/>
        <v>2757.743530036525</v>
      </c>
      <c r="O139" s="61"/>
    </row>
    <row r="140" spans="1:15" s="13" customFormat="1" x14ac:dyDescent="0.2">
      <c r="A140" s="25"/>
      <c r="B140" s="89" t="s">
        <v>113</v>
      </c>
      <c r="C140" s="101">
        <v>2190.75</v>
      </c>
      <c r="D140" s="101">
        <v>2387.83</v>
      </c>
      <c r="E140" s="102">
        <v>2396.5</v>
      </c>
      <c r="F140" s="102">
        <v>2360.83</v>
      </c>
      <c r="G140" s="157">
        <v>2338.6</v>
      </c>
      <c r="H140" s="101">
        <v>2349.63</v>
      </c>
      <c r="I140" s="101">
        <v>2605.3000000000002</v>
      </c>
      <c r="J140" s="101">
        <v>2631.86</v>
      </c>
      <c r="K140" s="101">
        <v>2580.61</v>
      </c>
      <c r="L140" s="101">
        <v>2625.93</v>
      </c>
      <c r="M140" s="101">
        <v>2678.81</v>
      </c>
      <c r="N140" s="158">
        <v>2629.95</v>
      </c>
    </row>
    <row r="141" spans="1:15" s="13" customFormat="1" x14ac:dyDescent="0.2">
      <c r="A141" s="40"/>
      <c r="B141" s="90" t="s">
        <v>9</v>
      </c>
      <c r="C141" s="114">
        <v>106.82</v>
      </c>
      <c r="D141" s="114">
        <v>106.82</v>
      </c>
      <c r="E141" s="115">
        <v>106.82</v>
      </c>
      <c r="F141" s="115">
        <v>106.82</v>
      </c>
      <c r="G141" s="121">
        <v>106.82</v>
      </c>
      <c r="H141" s="115">
        <v>106.82</v>
      </c>
      <c r="I141" s="115">
        <v>106.82</v>
      </c>
      <c r="J141" s="115">
        <v>106.82</v>
      </c>
      <c r="K141" s="115">
        <v>106.82</v>
      </c>
      <c r="L141" s="115">
        <v>121.67</v>
      </c>
      <c r="M141" s="115">
        <v>121.67</v>
      </c>
      <c r="N141" s="122">
        <v>121.67</v>
      </c>
    </row>
    <row r="142" spans="1:15" s="13" customFormat="1" x14ac:dyDescent="0.2">
      <c r="A142" s="81"/>
      <c r="B142" s="91" t="s">
        <v>42</v>
      </c>
      <c r="C142" s="106">
        <v>5.3629999999999995</v>
      </c>
      <c r="D142" s="106">
        <v>5.3629999999999995</v>
      </c>
      <c r="E142" s="107">
        <v>5.3629999999999995</v>
      </c>
      <c r="F142" s="107">
        <v>5.3629999999999995</v>
      </c>
      <c r="G142" s="108">
        <v>5.3629999999999995</v>
      </c>
      <c r="H142" s="106">
        <v>5.3629999999999995</v>
      </c>
      <c r="I142" s="106">
        <v>5.3629999999999995</v>
      </c>
      <c r="J142" s="106">
        <v>5.3629999999999995</v>
      </c>
      <c r="K142" s="106">
        <v>5.3629999999999995</v>
      </c>
      <c r="L142" s="106">
        <v>6.1235300365250511</v>
      </c>
      <c r="M142" s="106">
        <v>6.1235300365250511</v>
      </c>
      <c r="N142" s="109">
        <v>6.1235300365250511</v>
      </c>
    </row>
    <row r="143" spans="1:15" s="13" customFormat="1" ht="25.5" x14ac:dyDescent="0.2">
      <c r="A143" s="82"/>
      <c r="B143" s="87" t="s">
        <v>118</v>
      </c>
      <c r="C143" s="119">
        <f>SUM(C144:C145)</f>
        <v>1063691.4400000002</v>
      </c>
      <c r="D143" s="119">
        <f t="shared" ref="D143:N143" si="42">SUM(D144:D145)</f>
        <v>1007002.78</v>
      </c>
      <c r="E143" s="120">
        <f t="shared" si="42"/>
        <v>1062450.8899999999</v>
      </c>
      <c r="F143" s="120">
        <f t="shared" si="42"/>
        <v>1056190.19</v>
      </c>
      <c r="G143" s="119">
        <f t="shared" si="42"/>
        <v>1227142.22</v>
      </c>
      <c r="H143" s="119">
        <f t="shared" si="42"/>
        <v>1197387.5999999999</v>
      </c>
      <c r="I143" s="119">
        <f t="shared" si="42"/>
        <v>1200392.96</v>
      </c>
      <c r="J143" s="119">
        <f t="shared" si="42"/>
        <v>1192228.79</v>
      </c>
      <c r="K143" s="119">
        <f t="shared" si="42"/>
        <v>1192669.18</v>
      </c>
      <c r="L143" s="119">
        <f t="shared" si="42"/>
        <v>1225813.8399999999</v>
      </c>
      <c r="M143" s="119">
        <f t="shared" si="42"/>
        <v>1234126.6700000002</v>
      </c>
      <c r="N143" s="118">
        <f t="shared" si="42"/>
        <v>1233361.28</v>
      </c>
    </row>
    <row r="144" spans="1:15" s="13" customFormat="1" ht="25.5" x14ac:dyDescent="0.2">
      <c r="A144" s="178"/>
      <c r="B144" s="91" t="s">
        <v>116</v>
      </c>
      <c r="C144" s="146">
        <v>850.58</v>
      </c>
      <c r="D144" s="146">
        <v>1150.1400000000001</v>
      </c>
      <c r="E144" s="99">
        <v>1178.98</v>
      </c>
      <c r="F144" s="99">
        <v>1377.28</v>
      </c>
      <c r="G144" s="147">
        <v>1386.94</v>
      </c>
      <c r="H144" s="146">
        <v>1354.18</v>
      </c>
      <c r="I144" s="146">
        <v>1251.6600000000001</v>
      </c>
      <c r="J144" s="146">
        <v>1551.11</v>
      </c>
      <c r="K144" s="146">
        <v>1608.71</v>
      </c>
      <c r="L144" s="146">
        <v>1250.6400000000001</v>
      </c>
      <c r="M144" s="146">
        <v>1067.3599999999999</v>
      </c>
      <c r="N144" s="158">
        <v>1060.92</v>
      </c>
    </row>
    <row r="145" spans="1:15" s="13" customFormat="1" ht="26.25" thickBot="1" x14ac:dyDescent="0.25">
      <c r="A145" s="178"/>
      <c r="B145" s="90" t="s">
        <v>117</v>
      </c>
      <c r="C145" s="101">
        <v>1062840.8600000001</v>
      </c>
      <c r="D145" s="101">
        <v>1005852.64</v>
      </c>
      <c r="E145" s="102">
        <v>1061271.9099999999</v>
      </c>
      <c r="F145" s="102">
        <v>1054812.9099999999</v>
      </c>
      <c r="G145" s="157">
        <v>1225755.28</v>
      </c>
      <c r="H145" s="101">
        <v>1196033.42</v>
      </c>
      <c r="I145" s="101">
        <v>1199141.3</v>
      </c>
      <c r="J145" s="101">
        <v>1190677.68</v>
      </c>
      <c r="K145" s="101">
        <v>1191060.47</v>
      </c>
      <c r="L145" s="101">
        <v>1224563.2</v>
      </c>
      <c r="M145" s="101">
        <v>1233059.31</v>
      </c>
      <c r="N145" s="148">
        <v>1232300.3600000001</v>
      </c>
    </row>
    <row r="146" spans="1:15" ht="15" customHeight="1" thickBot="1" x14ac:dyDescent="0.25">
      <c r="A146" s="36" t="s">
        <v>104</v>
      </c>
      <c r="B146" s="37" t="s">
        <v>66</v>
      </c>
      <c r="C146" s="20"/>
      <c r="D146" s="20"/>
      <c r="E146" s="21"/>
      <c r="F146" s="21"/>
      <c r="G146" s="66"/>
      <c r="H146" s="20"/>
      <c r="I146" s="20"/>
      <c r="J146" s="20"/>
      <c r="K146" s="20"/>
      <c r="L146" s="20"/>
      <c r="M146" s="20"/>
      <c r="N146" s="55"/>
      <c r="O146" s="13"/>
    </row>
    <row r="147" spans="1:15" ht="15" customHeight="1" x14ac:dyDescent="0.2">
      <c r="A147" s="85"/>
      <c r="B147" s="88" t="s">
        <v>61</v>
      </c>
      <c r="C147" s="159">
        <f>SUM(C148:C150)</f>
        <v>2302.933</v>
      </c>
      <c r="D147" s="159">
        <f t="shared" ref="D147:N147" si="43">SUM(D148:D150)</f>
        <v>2500.0129999999999</v>
      </c>
      <c r="E147" s="160">
        <f t="shared" si="43"/>
        <v>2508.683</v>
      </c>
      <c r="F147" s="160">
        <f t="shared" si="43"/>
        <v>2473.0129999999999</v>
      </c>
      <c r="G147" s="160">
        <f t="shared" si="43"/>
        <v>2450.7829999999999</v>
      </c>
      <c r="H147" s="160">
        <f t="shared" si="43"/>
        <v>2461.8130000000001</v>
      </c>
      <c r="I147" s="160">
        <f t="shared" si="43"/>
        <v>2717.4830000000002</v>
      </c>
      <c r="J147" s="160">
        <f t="shared" si="43"/>
        <v>2744.0430000000001</v>
      </c>
      <c r="K147" s="160">
        <f t="shared" si="43"/>
        <v>2692.7930000000001</v>
      </c>
      <c r="L147" s="160">
        <f t="shared" si="43"/>
        <v>2753.7235300365251</v>
      </c>
      <c r="M147" s="160">
        <f t="shared" si="43"/>
        <v>2806.6035300365252</v>
      </c>
      <c r="N147" s="161">
        <f t="shared" si="43"/>
        <v>2757.743530036525</v>
      </c>
      <c r="O147" s="13"/>
    </row>
    <row r="148" spans="1:15" ht="15" customHeight="1" x14ac:dyDescent="0.2">
      <c r="A148" s="25"/>
      <c r="B148" s="89" t="s">
        <v>113</v>
      </c>
      <c r="C148" s="101">
        <v>2190.75</v>
      </c>
      <c r="D148" s="101">
        <v>2387.83</v>
      </c>
      <c r="E148" s="102">
        <v>2396.5</v>
      </c>
      <c r="F148" s="102">
        <v>2360.83</v>
      </c>
      <c r="G148" s="157">
        <v>2338.6</v>
      </c>
      <c r="H148" s="101">
        <v>2349.63</v>
      </c>
      <c r="I148" s="101">
        <v>2605.3000000000002</v>
      </c>
      <c r="J148" s="101">
        <v>2631.86</v>
      </c>
      <c r="K148" s="101">
        <v>2580.61</v>
      </c>
      <c r="L148" s="101">
        <v>2625.93</v>
      </c>
      <c r="M148" s="101">
        <v>2678.81</v>
      </c>
      <c r="N148" s="158">
        <v>2629.95</v>
      </c>
      <c r="O148" s="13"/>
    </row>
    <row r="149" spans="1:15" ht="15" customHeight="1" x14ac:dyDescent="0.2">
      <c r="A149" s="40"/>
      <c r="B149" s="90" t="s">
        <v>9</v>
      </c>
      <c r="C149" s="114">
        <v>106.82</v>
      </c>
      <c r="D149" s="114">
        <v>106.82</v>
      </c>
      <c r="E149" s="115">
        <v>106.82</v>
      </c>
      <c r="F149" s="115">
        <v>106.82</v>
      </c>
      <c r="G149" s="121">
        <v>106.82</v>
      </c>
      <c r="H149" s="115">
        <v>106.82</v>
      </c>
      <c r="I149" s="115">
        <v>106.82</v>
      </c>
      <c r="J149" s="115">
        <v>106.82</v>
      </c>
      <c r="K149" s="115">
        <v>106.82</v>
      </c>
      <c r="L149" s="115">
        <v>121.67</v>
      </c>
      <c r="M149" s="115">
        <v>121.67</v>
      </c>
      <c r="N149" s="122">
        <v>121.67</v>
      </c>
      <c r="O149" s="13"/>
    </row>
    <row r="150" spans="1:15" s="13" customFormat="1" ht="15" customHeight="1" x14ac:dyDescent="0.2">
      <c r="A150" s="81"/>
      <c r="B150" s="91" t="s">
        <v>42</v>
      </c>
      <c r="C150" s="106">
        <v>5.3629999999999995</v>
      </c>
      <c r="D150" s="106">
        <v>5.3629999999999995</v>
      </c>
      <c r="E150" s="107">
        <v>5.3629999999999995</v>
      </c>
      <c r="F150" s="107">
        <v>5.3629999999999995</v>
      </c>
      <c r="G150" s="108">
        <v>5.3629999999999995</v>
      </c>
      <c r="H150" s="106">
        <v>5.3629999999999995</v>
      </c>
      <c r="I150" s="106">
        <v>5.3629999999999995</v>
      </c>
      <c r="J150" s="106">
        <v>5.3629999999999995</v>
      </c>
      <c r="K150" s="106">
        <v>5.3629999999999995</v>
      </c>
      <c r="L150" s="106">
        <v>6.1235300365250511</v>
      </c>
      <c r="M150" s="106">
        <v>6.1235300365250511</v>
      </c>
      <c r="N150" s="109">
        <v>6.1235300365250511</v>
      </c>
    </row>
    <row r="151" spans="1:15" s="13" customFormat="1" ht="25.5" x14ac:dyDescent="0.2">
      <c r="A151" s="82"/>
      <c r="B151" s="87" t="s">
        <v>118</v>
      </c>
      <c r="C151" s="119">
        <f>SUM(C152:C153)</f>
        <v>1063691.4400000002</v>
      </c>
      <c r="D151" s="119">
        <f t="shared" ref="D151:N151" si="44">SUM(D152:D153)</f>
        <v>1007002.78</v>
      </c>
      <c r="E151" s="120">
        <f t="shared" si="44"/>
        <v>1062450.8899999999</v>
      </c>
      <c r="F151" s="120">
        <f t="shared" si="44"/>
        <v>1056190.19</v>
      </c>
      <c r="G151" s="119">
        <f t="shared" si="44"/>
        <v>1227142.22</v>
      </c>
      <c r="H151" s="119">
        <f t="shared" si="44"/>
        <v>1197387.5999999999</v>
      </c>
      <c r="I151" s="119">
        <f t="shared" si="44"/>
        <v>1200392.96</v>
      </c>
      <c r="J151" s="119">
        <f t="shared" si="44"/>
        <v>1192228.79</v>
      </c>
      <c r="K151" s="119">
        <f t="shared" si="44"/>
        <v>1192669.18</v>
      </c>
      <c r="L151" s="119">
        <f t="shared" si="44"/>
        <v>1225813.8399999999</v>
      </c>
      <c r="M151" s="119">
        <f t="shared" si="44"/>
        <v>1234126.6700000002</v>
      </c>
      <c r="N151" s="118">
        <f t="shared" si="44"/>
        <v>1233361.28</v>
      </c>
    </row>
    <row r="152" spans="1:15" s="13" customFormat="1" ht="25.5" x14ac:dyDescent="0.2">
      <c r="A152" s="178"/>
      <c r="B152" s="91" t="s">
        <v>116</v>
      </c>
      <c r="C152" s="146">
        <v>850.58</v>
      </c>
      <c r="D152" s="146">
        <v>1150.1400000000001</v>
      </c>
      <c r="E152" s="99">
        <v>1178.98</v>
      </c>
      <c r="F152" s="99">
        <v>1377.28</v>
      </c>
      <c r="G152" s="147">
        <v>1386.94</v>
      </c>
      <c r="H152" s="146">
        <v>1354.18</v>
      </c>
      <c r="I152" s="146">
        <v>1251.6600000000001</v>
      </c>
      <c r="J152" s="146">
        <v>1551.11</v>
      </c>
      <c r="K152" s="146">
        <v>1608.71</v>
      </c>
      <c r="L152" s="146">
        <v>1250.6400000000001</v>
      </c>
      <c r="M152" s="146">
        <v>1067.3599999999999</v>
      </c>
      <c r="N152" s="158">
        <v>1060.92</v>
      </c>
    </row>
    <row r="153" spans="1:15" s="13" customFormat="1" ht="25.5" x14ac:dyDescent="0.2">
      <c r="A153" s="178"/>
      <c r="B153" s="90" t="s">
        <v>117</v>
      </c>
      <c r="C153" s="146">
        <v>1062840.8600000001</v>
      </c>
      <c r="D153" s="146">
        <v>1005852.64</v>
      </c>
      <c r="E153" s="99">
        <v>1061271.9099999999</v>
      </c>
      <c r="F153" s="99">
        <v>1054812.9099999999</v>
      </c>
      <c r="G153" s="147">
        <v>1225755.28</v>
      </c>
      <c r="H153" s="146">
        <v>1196033.42</v>
      </c>
      <c r="I153" s="146">
        <v>1199141.3</v>
      </c>
      <c r="J153" s="146">
        <v>1190677.68</v>
      </c>
      <c r="K153" s="146">
        <v>1191060.47</v>
      </c>
      <c r="L153" s="146">
        <v>1224563.2</v>
      </c>
      <c r="M153" s="146">
        <v>1233059.31</v>
      </c>
      <c r="N153" s="146">
        <v>1232300.3600000001</v>
      </c>
    </row>
    <row r="154" spans="1:15" ht="26.25" thickBot="1" x14ac:dyDescent="0.25">
      <c r="A154" s="32"/>
      <c r="B154" s="93" t="s">
        <v>65</v>
      </c>
      <c r="C154" s="129">
        <v>1697848.88</v>
      </c>
      <c r="D154" s="129">
        <v>1697848.88</v>
      </c>
      <c r="E154" s="130">
        <v>1697848.88</v>
      </c>
      <c r="F154" s="130">
        <v>1697848.88</v>
      </c>
      <c r="G154" s="133">
        <v>1697848.88</v>
      </c>
      <c r="H154" s="129">
        <v>1697848.88</v>
      </c>
      <c r="I154" s="129">
        <v>1697848.88</v>
      </c>
      <c r="J154" s="129">
        <v>1697848.88</v>
      </c>
      <c r="K154" s="129">
        <v>1697848.88</v>
      </c>
      <c r="L154" s="129">
        <v>2059490.69</v>
      </c>
      <c r="M154" s="129">
        <v>2059490.69</v>
      </c>
      <c r="N154" s="134">
        <v>2059490.69</v>
      </c>
      <c r="O154" s="13"/>
    </row>
    <row r="155" spans="1:15" ht="15" customHeight="1" x14ac:dyDescent="0.2"/>
    <row r="157" spans="1:15" ht="86.25" customHeight="1" x14ac:dyDescent="0.2">
      <c r="A157" s="200" t="s">
        <v>114</v>
      </c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69"/>
    </row>
    <row r="158" spans="1:15" ht="28.5" customHeight="1" x14ac:dyDescent="0.2">
      <c r="A158" s="199" t="s">
        <v>115</v>
      </c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</row>
  </sheetData>
  <mergeCells count="11">
    <mergeCell ref="D63:N63"/>
    <mergeCell ref="D95:N95"/>
    <mergeCell ref="D127:N127"/>
    <mergeCell ref="A157:N157"/>
    <mergeCell ref="A158:N158"/>
    <mergeCell ref="D11:N11"/>
    <mergeCell ref="A2:N2"/>
    <mergeCell ref="A3:N3"/>
    <mergeCell ref="A4:N4"/>
    <mergeCell ref="A5:N5"/>
    <mergeCell ref="A7:N7"/>
  </mergeCells>
  <hyperlinks>
    <hyperlink ref="N1" location="РЕЕСТР_СУБ_РФ" display="Реестр"/>
  </hyperlinks>
  <pageMargins left="0.88" right="0.27559055118110237" top="0.43307086614173229" bottom="0.39370078740157483" header="0.39370078740157483" footer="0.15748031496062992"/>
  <pageSetup paperSize="9" scale="4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33793" r:id="rId4">
          <objectPr defaultSize="0" autoPict="0" r:id="rId5">
            <anchor moveWithCells="1" sizeWithCells="1">
              <from>
                <xdr:col>1</xdr:col>
                <xdr:colOff>0</xdr:colOff>
                <xdr:row>155</xdr:row>
                <xdr:rowOff>0</xdr:rowOff>
              </from>
              <to>
                <xdr:col>1</xdr:col>
                <xdr:colOff>142875</xdr:colOff>
                <xdr:row>155</xdr:row>
                <xdr:rowOff>0</xdr:rowOff>
              </to>
            </anchor>
          </objectPr>
        </oleObject>
      </mc:Choice>
      <mc:Fallback>
        <oleObject progId="Equation.3" shapeId="3379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152</vt:i4>
      </vt:variant>
    </vt:vector>
  </HeadingPairs>
  <TitlesOfParts>
    <vt:vector size="168" baseType="lpstr">
      <vt:lpstr>Сценарные условия</vt:lpstr>
      <vt:lpstr>Реестр</vt:lpstr>
      <vt:lpstr>М_менее 670 (1 ЦК)</vt:lpstr>
      <vt:lpstr>М_менее 670 (3 ЦК)</vt:lpstr>
      <vt:lpstr>М_менее 670 (4 ЦК)</vt:lpstr>
      <vt:lpstr>М_от 670 кВт до 10 МВт (3 ЦК)</vt:lpstr>
      <vt:lpstr>М_от 670 кВт до 10 МВт (4 ЦК)</vt:lpstr>
      <vt:lpstr>М_свыше 10 МВт (3 ЦК)</vt:lpstr>
      <vt:lpstr>М_свыше 10 МВт (4 ЦК)</vt:lpstr>
      <vt:lpstr>МО_менее 670 (1 ЦК)</vt:lpstr>
      <vt:lpstr>МО_менее 670 (3 ЦК)</vt:lpstr>
      <vt:lpstr>МО_менее 670 (4 ЦК)</vt:lpstr>
      <vt:lpstr>МО_от 670 кВт до 10 МВт (3 ЦК)</vt:lpstr>
      <vt:lpstr>МО_от 670 кВт до 10 МВт (4 ЦК)</vt:lpstr>
      <vt:lpstr>МО_свыше 10 МВт (3 ЦК)</vt:lpstr>
      <vt:lpstr>МО_свыше 10 МВт (4 ЦК)</vt:lpstr>
      <vt:lpstr>Реестр!_ФильтрБазыДанных</vt:lpstr>
      <vt:lpstr>М_менее_670_ДКП_ВН_1</vt:lpstr>
      <vt:lpstr>М_менее_670_ДКП_ВН_3</vt:lpstr>
      <vt:lpstr>М_менее_670_ДКП_ВН_4</vt:lpstr>
      <vt:lpstr>М_менее_670_ДКП_НН_1</vt:lpstr>
      <vt:lpstr>М_менее_670_ДКП_НН_3</vt:lpstr>
      <vt:lpstr>М_менее_670_ДКП_НН_4</vt:lpstr>
      <vt:lpstr>М_менее_670_ДКП_СН1_1</vt:lpstr>
      <vt:lpstr>М_менее_670_ДКП_СН1_3</vt:lpstr>
      <vt:lpstr>М_менее_670_ДКП_СН1_4</vt:lpstr>
      <vt:lpstr>М_менее_670_ДКП_СН2_1</vt:lpstr>
      <vt:lpstr>М_менее_670_ДКП_СН2_3</vt:lpstr>
      <vt:lpstr>М_менее_670_ДКП_СН2_4</vt:lpstr>
      <vt:lpstr>М_менее_670_ДЭ_ВН_1</vt:lpstr>
      <vt:lpstr>М_менее_670_ДЭ_ВН_3</vt:lpstr>
      <vt:lpstr>М_менее_670_ДЭ_ВН_4</vt:lpstr>
      <vt:lpstr>М_менее_670_ДЭ_НН_1</vt:lpstr>
      <vt:lpstr>М_менее_670_ДЭ_НН_3</vt:lpstr>
      <vt:lpstr>М_менее_670_ДЭ_НН_4</vt:lpstr>
      <vt:lpstr>М_менее_670_ДЭ_СН1_1</vt:lpstr>
      <vt:lpstr>М_менее_670_ДЭ_СН1_3</vt:lpstr>
      <vt:lpstr>М_менее_670_ДЭ_СН1_4</vt:lpstr>
      <vt:lpstr>М_менее_670_ДЭ_СН2_1</vt:lpstr>
      <vt:lpstr>М_менее_670_ДЭ_СН2_3</vt:lpstr>
      <vt:lpstr>М_менее_670_ДЭ_СН2_4</vt:lpstr>
      <vt:lpstr>М_не_менее_10_ДКП_ВН_3</vt:lpstr>
      <vt:lpstr>М_не_менее_10_ДКП_ВН_4</vt:lpstr>
      <vt:lpstr>М_не_менее_10_ДКП_НН_3</vt:lpstr>
      <vt:lpstr>М_не_менее_10_ДКП_НН_4</vt:lpstr>
      <vt:lpstr>М_не_менее_10_ДКП_СН1_3</vt:lpstr>
      <vt:lpstr>М_не_менее_10_ДКП_СН1_4</vt:lpstr>
      <vt:lpstr>М_не_менее_10_ДКП_СН2_3</vt:lpstr>
      <vt:lpstr>М_не_менее_10_ДКП_СН2_4</vt:lpstr>
      <vt:lpstr>М_не_менее_10_ДЭ_ВН_3</vt:lpstr>
      <vt:lpstr>М_не_менее_10_ДЭ_ВН_4</vt:lpstr>
      <vt:lpstr>М_не_менее_10_ДЭ_НН_3</vt:lpstr>
      <vt:lpstr>М_не_менее_10_ДЭ_НН_4</vt:lpstr>
      <vt:lpstr>М_не_менее_10_ДЭ_СН1_3</vt:lpstr>
      <vt:lpstr>М_не_менее_10_ДЭ_СН1_4</vt:lpstr>
      <vt:lpstr>М_не_менее_10_ДЭ_СН2_3</vt:lpstr>
      <vt:lpstr>М_не_менее_10_ДЭ_СН2_4</vt:lpstr>
      <vt:lpstr>М_не_менее_10_ЕНЭС220_ВН_4</vt:lpstr>
      <vt:lpstr>М_не_менее_10_ЕНЭС330_ВН_4</vt:lpstr>
      <vt:lpstr>М_не_менее_10_РУ_ПЭ_ВН_4</vt:lpstr>
      <vt:lpstr>М_не_менее_10_РУ_ПЭ_НН_4</vt:lpstr>
      <vt:lpstr>М_не_менее_10_РУ_ПЭ_СН1_4</vt:lpstr>
      <vt:lpstr>М_не_менее_10_РУ_ПЭ_СН2_4</vt:lpstr>
      <vt:lpstr>М_от_670_до_10_ДКП_ВН_3</vt:lpstr>
      <vt:lpstr>М_от_670_до_10_ДКП_ВН_4</vt:lpstr>
      <vt:lpstr>М_от_670_до_10_ДКП_НН_3</vt:lpstr>
      <vt:lpstr>М_от_670_до_10_ДКП_НН_4</vt:lpstr>
      <vt:lpstr>М_от_670_до_10_ДКП_СН1_3</vt:lpstr>
      <vt:lpstr>М_от_670_до_10_ДКП_СН1_4</vt:lpstr>
      <vt:lpstr>М_от_670_до_10_ДКП_СН2_3</vt:lpstr>
      <vt:lpstr>М_от_670_до_10_ДКП_СН2_4</vt:lpstr>
      <vt:lpstr>М_от_670_до_10_ДЭ_ВН_3</vt:lpstr>
      <vt:lpstr>М_от_670_до_10_ДЭ_ВН_4</vt:lpstr>
      <vt:lpstr>М_от_670_до_10_ДЭ_НН_3</vt:lpstr>
      <vt:lpstr>М_от_670_до_10_ДЭ_НН_4</vt:lpstr>
      <vt:lpstr>М_от_670_до_10_ДЭ_СН1_3</vt:lpstr>
      <vt:lpstr>М_от_670_до_10_ДЭ_СН1_4</vt:lpstr>
      <vt:lpstr>М_от_670_до_10_ДЭ_СН2_3</vt:lpstr>
      <vt:lpstr>М_от_670_до_10_ДЭ_СН2_4</vt:lpstr>
      <vt:lpstr>М_от_670_до_10_ЕНЭС220_ВН_4</vt:lpstr>
      <vt:lpstr>М_от_670_до_10_ЕНЭС330_ВН_4</vt:lpstr>
      <vt:lpstr>М_от_670_до_10_РУ_ПЭ_ВН_4</vt:lpstr>
      <vt:lpstr>М_от_670_до_10_РУ_ПЭ_НН_4</vt:lpstr>
      <vt:lpstr>М_от_670_до_10_РУ_ПЭ_СН1_4</vt:lpstr>
      <vt:lpstr>М_от_670_до_10_РУ_ПЭ_СН2_4</vt:lpstr>
      <vt:lpstr>МО_менее_670_ДКП_ВН_1</vt:lpstr>
      <vt:lpstr>МО_менее_670_ДКП_ВН_3</vt:lpstr>
      <vt:lpstr>МО_менее_670_ДКП_ВН_4</vt:lpstr>
      <vt:lpstr>МО_менее_670_ДКП_НН_1</vt:lpstr>
      <vt:lpstr>МО_менее_670_ДКП_НН_3</vt:lpstr>
      <vt:lpstr>МО_менее_670_ДКП_НН_4</vt:lpstr>
      <vt:lpstr>МО_менее_670_ДКП_СН1_1</vt:lpstr>
      <vt:lpstr>МО_менее_670_ДКП_СН1_3</vt:lpstr>
      <vt:lpstr>МО_менее_670_ДКП_СН1_4</vt:lpstr>
      <vt:lpstr>МО_менее_670_ДКП_СН2_1</vt:lpstr>
      <vt:lpstr>МО_менее_670_ДКП_СН2_3</vt:lpstr>
      <vt:lpstr>МО_менее_670_ДКП_СН2_4</vt:lpstr>
      <vt:lpstr>МО_менее_670_ДЭ_ВН_1</vt:lpstr>
      <vt:lpstr>МО_менее_670_ДЭ_ВН_3</vt:lpstr>
      <vt:lpstr>МО_менее_670_ДЭ_ВН_4</vt:lpstr>
      <vt:lpstr>МО_менее_670_ДЭ_НН_1</vt:lpstr>
      <vt:lpstr>МО_менее_670_ДЭ_НН_3</vt:lpstr>
      <vt:lpstr>МО_менее_670_ДЭ_НН_4</vt:lpstr>
      <vt:lpstr>МО_менее_670_ДЭ_СН1_1</vt:lpstr>
      <vt:lpstr>МО_менее_670_ДЭ_СН1_3</vt:lpstr>
      <vt:lpstr>МО_менее_670_ДЭ_СН1_4</vt:lpstr>
      <vt:lpstr>МО_менее_670_ДЭ_СН2_1</vt:lpstr>
      <vt:lpstr>МО_менее_670_ДЭ_СН2_3</vt:lpstr>
      <vt:lpstr>МО_менее_670_ДЭ_СН2_4</vt:lpstr>
      <vt:lpstr>МО_не_менее_10_ДКП_ВН_3</vt:lpstr>
      <vt:lpstr>МО_не_менее_10_ДКП_ВН_4</vt:lpstr>
      <vt:lpstr>МО_не_менее_10_ДКП_НН_3</vt:lpstr>
      <vt:lpstr>МО_не_менее_10_ДКП_НН_4</vt:lpstr>
      <vt:lpstr>МО_не_менее_10_ДКП_СН1_3</vt:lpstr>
      <vt:lpstr>МО_не_менее_10_ДКП_СН1_4</vt:lpstr>
      <vt:lpstr>МО_не_менее_10_ДКП_СН2_3</vt:lpstr>
      <vt:lpstr>МО_не_менее_10_ДКП_СН2_4</vt:lpstr>
      <vt:lpstr>МО_не_менее_10_ДЭ_ВН_3</vt:lpstr>
      <vt:lpstr>МО_не_менее_10_ДЭ_ВН_4</vt:lpstr>
      <vt:lpstr>МО_не_менее_10_ДЭ_НН_3</vt:lpstr>
      <vt:lpstr>МО_не_менее_10_ДЭ_НН_4</vt:lpstr>
      <vt:lpstr>МО_не_менее_10_ДЭ_СН1_3</vt:lpstr>
      <vt:lpstr>МО_не_менее_10_ДЭ_СН1_4</vt:lpstr>
      <vt:lpstr>МО_не_менее_10_ДЭ_СН2_3</vt:lpstr>
      <vt:lpstr>МО_не_менее_10_ДЭ_СН2_4</vt:lpstr>
      <vt:lpstr>МО_не_менее_10_ЕНЭС220_ВН_4</vt:lpstr>
      <vt:lpstr>МО_не_менее_10_ЕНЭС330_ВН_4</vt:lpstr>
      <vt:lpstr>МО_не_менее_10_РУ_ПЭ_ВН_4</vt:lpstr>
      <vt:lpstr>МО_не_менее_10_РУ_ПЭ_СН1_4</vt:lpstr>
      <vt:lpstr>МО_не_менее_10_РУ_ПЭ_СН2_4</vt:lpstr>
      <vt:lpstr>МО_от_670_до_10_ДКП_ВН_3</vt:lpstr>
      <vt:lpstr>МО_от_670_до_10_ДКП_ВН_4</vt:lpstr>
      <vt:lpstr>МО_от_670_до_10_ДКП_НН_3</vt:lpstr>
      <vt:lpstr>МО_от_670_до_10_ДКП_НН_4</vt:lpstr>
      <vt:lpstr>МО_от_670_до_10_ДКП_СН1_3</vt:lpstr>
      <vt:lpstr>МО_от_670_до_10_ДКП_СН1_4</vt:lpstr>
      <vt:lpstr>МО_от_670_до_10_ДКП_СН2_3</vt:lpstr>
      <vt:lpstr>МО_от_670_до_10_ДКП_СН2_4</vt:lpstr>
      <vt:lpstr>МО_от_670_до_10_ДЭ_ВН_3</vt:lpstr>
      <vt:lpstr>МО_от_670_до_10_ДЭ_ВН_4</vt:lpstr>
      <vt:lpstr>МО_от_670_до_10_ДЭ_НН_3</vt:lpstr>
      <vt:lpstr>МО_от_670_до_10_ДЭ_НН_4</vt:lpstr>
      <vt:lpstr>МО_от_670_до_10_ДЭ_СН1_3</vt:lpstr>
      <vt:lpstr>МО_от_670_до_10_ДЭ_СН1_4</vt:lpstr>
      <vt:lpstr>МО_от_670_до_10_ДЭ_СН2_3</vt:lpstr>
      <vt:lpstr>МО_от_670_до_10_ДЭ_СН2_4</vt:lpstr>
      <vt:lpstr>МО_от_670_до_10_ЕНЭС220_ВН_4</vt:lpstr>
      <vt:lpstr>МО_от_670_до_10_ЕНЭС330_ВН_4</vt:lpstr>
      <vt:lpstr>МО_от_670_до_10_РУ_ПЭ_ВН_4</vt:lpstr>
      <vt:lpstr>МО_от_670_до_10_РУ_ПЭ_НН_4</vt:lpstr>
      <vt:lpstr>МО_от_670_до_10_РУ_ПЭ_СН1_4</vt:lpstr>
      <vt:lpstr>МО_от_670_до_10_РУ_ПЭ_СН2_4</vt:lpstr>
      <vt:lpstr>'М_менее 670 (1 ЦК)'!Область_печати</vt:lpstr>
      <vt:lpstr>'М_менее 670 (3 ЦК)'!Область_печати</vt:lpstr>
      <vt:lpstr>'М_менее 670 (4 ЦК)'!Область_печати</vt:lpstr>
      <vt:lpstr>'М_от 670 кВт до 10 МВт (3 ЦК)'!Область_печати</vt:lpstr>
      <vt:lpstr>'М_от 670 кВт до 10 МВт (4 ЦК)'!Область_печати</vt:lpstr>
      <vt:lpstr>'М_свыше 10 МВт (3 ЦК)'!Область_печати</vt:lpstr>
      <vt:lpstr>'М_свыше 10 МВт (4 ЦК)'!Область_печати</vt:lpstr>
      <vt:lpstr>'МО_менее 670 (1 ЦК)'!Область_печати</vt:lpstr>
      <vt:lpstr>'МО_менее 670 (3 ЦК)'!Область_печати</vt:lpstr>
      <vt:lpstr>'МО_менее 670 (4 ЦК)'!Область_печати</vt:lpstr>
      <vt:lpstr>'МО_от 670 кВт до 10 МВт (3 ЦК)'!Область_печати</vt:lpstr>
      <vt:lpstr>'МО_от 670 кВт до 10 МВт (4 ЦК)'!Область_печати</vt:lpstr>
      <vt:lpstr>'МО_свыше 10 МВт (3 ЦК)'!Область_печати</vt:lpstr>
      <vt:lpstr>'МО_свыше 10 МВт (4 ЦК)'!Область_печати</vt:lpstr>
      <vt:lpstr>Реестр</vt:lpstr>
      <vt:lpstr>РЕЕСТР_СУБ_РФ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Карева Мария Сергеевна</dc:creator>
  <cp:lastModifiedBy>Глушков Василий Николаевич</cp:lastModifiedBy>
  <cp:lastPrinted>2023-10-24T10:17:46Z</cp:lastPrinted>
  <dcterms:created xsi:type="dcterms:W3CDTF">2023-10-12T13:21:33Z</dcterms:created>
  <dcterms:modified xsi:type="dcterms:W3CDTF">2026-02-24T11:45:48Z</dcterms:modified>
</cp:coreProperties>
</file>